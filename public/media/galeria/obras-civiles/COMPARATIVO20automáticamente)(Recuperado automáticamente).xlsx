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aidi\Adrian\WEB-LANDING-\public\media\galeria\obras-civiles\"/>
    </mc:Choice>
  </mc:AlternateContent>
  <xr:revisionPtr revIDLastSave="1" documentId="8_{0CA042B7-29F8-40A1-AA4B-99F62405A56D}" xr6:coauthVersionLast="47" xr6:coauthVersionMax="47" xr10:uidLastSave="{62C804D9-A98C-4700-962E-81415B8AEB81}"/>
  <bookViews>
    <workbookView xWindow="-120" yWindow="-120" windowWidth="29040" windowHeight="15720" tabRatio="747" firstSheet="3" activeTab="12" xr2:uid="{00000000-000D-0000-FFFF-FFFF00000000}"/>
  </bookViews>
  <sheets>
    <sheet name="PLANTILLA 2 (2)" sheetId="62" r:id="rId1"/>
    <sheet name="PLANTILLA " sheetId="36" r:id="rId2"/>
    <sheet name="casacas" sheetId="46" r:id="rId3"/>
    <sheet name="ENERO " sheetId="59" r:id="rId4"/>
    <sheet name="FEBRERO" sheetId="63" r:id="rId5"/>
    <sheet name="MARZO" sheetId="68" r:id="rId6"/>
    <sheet name="ABRIL" sheetId="69" r:id="rId7"/>
    <sheet name="MAYO " sheetId="72" r:id="rId8"/>
    <sheet name="JUNIO 2026" sheetId="76" r:id="rId9"/>
    <sheet name="JULIO 2026" sheetId="77" r:id="rId10"/>
    <sheet name="REPORTE SEMANAL" sheetId="78" r:id="rId11"/>
    <sheet name="AGENDA DE LA 1A " sheetId="65" r:id="rId12"/>
    <sheet name="frecuencia de visita " sheetId="75" r:id="rId13"/>
    <sheet name="UNIFORMES " sheetId="66" r:id="rId14"/>
    <sheet name="Recontacto " sheetId="73" r:id="rId15"/>
    <sheet name="PLANTILLA MAYO 2026" sheetId="71" r:id="rId16"/>
    <sheet name=" PLANTILLA  (2)" sheetId="5" state="hidden" r:id="rId17"/>
  </sheets>
  <definedNames>
    <definedName name="_xlnm._FilterDatabase" localSheetId="11" hidden="1">'AGENDA DE LA 1A '!$A$1:$Q$104</definedName>
    <definedName name="_xlnm._FilterDatabase" localSheetId="10" hidden="1">'REPORTE SEMANAL'!$A$175:$E$175</definedName>
    <definedName name="_xlnm.Print_Area" localSheetId="6">ABRIL!$G$27</definedName>
    <definedName name="_xlnm.Print_Area" localSheetId="3">'ENERO '!$G$27</definedName>
    <definedName name="_xlnm.Print_Area" localSheetId="4">FEBRERO!$G$27</definedName>
    <definedName name="_xlnm.Print_Area" localSheetId="9">'JULIO 2026'!$G$27</definedName>
    <definedName name="_xlnm.Print_Area" localSheetId="8">'JUNIO 2026'!$G$27</definedName>
    <definedName name="_xlnm.Print_Area" localSheetId="5">MARZO!$G$27</definedName>
    <definedName name="_xlnm.Print_Area" localSheetId="7">'MAYO '!$G$27</definedName>
    <definedName name="_xlnm.Print_Area" localSheetId="1">'PLANTILLA '!$G$27</definedName>
    <definedName name="_xlnm.Print_Area" localSheetId="0">'PLANTILLA 2 (2)'!$G$27</definedName>
    <definedName name="_xlnm.Print_Area" localSheetId="15">'PLANTILLA MAYO 2026'!$G$27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9" i="76" l="1"/>
  <c r="H67" i="66" l="1"/>
  <c r="H45" i="66"/>
  <c r="H51" i="66"/>
  <c r="H52" i="66"/>
  <c r="H53" i="66"/>
  <c r="H54" i="66"/>
  <c r="H55" i="66"/>
  <c r="H56" i="66"/>
  <c r="H57" i="66"/>
  <c r="H58" i="66"/>
  <c r="H59" i="66"/>
  <c r="G40" i="75" l="1"/>
  <c r="C38" i="75" l="1"/>
  <c r="AI123" i="77"/>
  <c r="AG123" i="77"/>
  <c r="AI122" i="77"/>
  <c r="AG122" i="77"/>
  <c r="AI121" i="77"/>
  <c r="AG121" i="77"/>
  <c r="AG120" i="77"/>
  <c r="AI120" i="77" s="1"/>
  <c r="AT9" i="77" s="1"/>
  <c r="AG119" i="77"/>
  <c r="AI119" i="77" s="1"/>
  <c r="AT8" i="77" s="1"/>
  <c r="AG118" i="77"/>
  <c r="AI118" i="77" s="1"/>
  <c r="AT7" i="77" s="1"/>
  <c r="AG117" i="77"/>
  <c r="AI117" i="77" s="1"/>
  <c r="AT6" i="77" s="1"/>
  <c r="AG116" i="77"/>
  <c r="AI116" i="77" s="1"/>
  <c r="AT5" i="77" s="1"/>
  <c r="AG115" i="77"/>
  <c r="AI115" i="77" s="1"/>
  <c r="AT4" i="77" s="1"/>
  <c r="AG110" i="77"/>
  <c r="AI110" i="77" s="1"/>
  <c r="AV12" i="77" s="1"/>
  <c r="AI109" i="77"/>
  <c r="AG109" i="77"/>
  <c r="AI108" i="77"/>
  <c r="AG108" i="77"/>
  <c r="AG107" i="77"/>
  <c r="AI107" i="77" s="1"/>
  <c r="AV9" i="77" s="1"/>
  <c r="AG106" i="77"/>
  <c r="AI106" i="77" s="1"/>
  <c r="AV8" i="77" s="1"/>
  <c r="AG105" i="77"/>
  <c r="AI105" i="77" s="1"/>
  <c r="AV7" i="77" s="1"/>
  <c r="AG104" i="77"/>
  <c r="AI104" i="77" s="1"/>
  <c r="AV6" i="77" s="1"/>
  <c r="AG103" i="77"/>
  <c r="AI103" i="77" s="1"/>
  <c r="AV5" i="77" s="1"/>
  <c r="BA13" i="77" s="1"/>
  <c r="AG102" i="77"/>
  <c r="AI102" i="77" s="1"/>
  <c r="AV4" i="77" s="1"/>
  <c r="AI99" i="77"/>
  <c r="AG99" i="77"/>
  <c r="AI98" i="77"/>
  <c r="AG98" i="77"/>
  <c r="AI97" i="77"/>
  <c r="AG97" i="77"/>
  <c r="AG96" i="77"/>
  <c r="AI96" i="77" s="1"/>
  <c r="AU9" i="77" s="1"/>
  <c r="AG95" i="77"/>
  <c r="AI95" i="77" s="1"/>
  <c r="AU8" i="77" s="1"/>
  <c r="AG94" i="77"/>
  <c r="AI94" i="77" s="1"/>
  <c r="AU7" i="77" s="1"/>
  <c r="AG93" i="77"/>
  <c r="AI93" i="77" s="1"/>
  <c r="AU6" i="77" s="1"/>
  <c r="AG92" i="77"/>
  <c r="AI92" i="77" s="1"/>
  <c r="AU5" i="77" s="1"/>
  <c r="AG91" i="77"/>
  <c r="AI91" i="77" s="1"/>
  <c r="AU4" i="77" s="1"/>
  <c r="AG88" i="77"/>
  <c r="AI88" i="77" s="1"/>
  <c r="AS12" i="77" s="1"/>
  <c r="AI87" i="77"/>
  <c r="AG87" i="77"/>
  <c r="AI86" i="77"/>
  <c r="AG86" i="77"/>
  <c r="AG85" i="77"/>
  <c r="AI85" i="77" s="1"/>
  <c r="AS9" i="77" s="1"/>
  <c r="AG84" i="77"/>
  <c r="AI84" i="77" s="1"/>
  <c r="AS8" i="77" s="1"/>
  <c r="AG83" i="77"/>
  <c r="AI83" i="77" s="1"/>
  <c r="AS7" i="77" s="1"/>
  <c r="AG82" i="77"/>
  <c r="AI82" i="77" s="1"/>
  <c r="AS6" i="77" s="1"/>
  <c r="AG81" i="77"/>
  <c r="AI81" i="77" s="1"/>
  <c r="AS5" i="77" s="1"/>
  <c r="AG80" i="77"/>
  <c r="AI80" i="77" s="1"/>
  <c r="AS4" i="77" s="1"/>
  <c r="AI77" i="77"/>
  <c r="AG77" i="77"/>
  <c r="AI76" i="77"/>
  <c r="AG76" i="77"/>
  <c r="AI75" i="77"/>
  <c r="AR10" i="77" s="1"/>
  <c r="AG75" i="77"/>
  <c r="AG74" i="77"/>
  <c r="AI74" i="77" s="1"/>
  <c r="AR9" i="77" s="1"/>
  <c r="AG73" i="77"/>
  <c r="AI73" i="77" s="1"/>
  <c r="AR8" i="77" s="1"/>
  <c r="AG72" i="77"/>
  <c r="AI72" i="77" s="1"/>
  <c r="AR7" i="77" s="1"/>
  <c r="AR26" i="77" s="1"/>
  <c r="AG71" i="77"/>
  <c r="AI71" i="77" s="1"/>
  <c r="AR6" i="77" s="1"/>
  <c r="AG70" i="77"/>
  <c r="AI70" i="77" s="1"/>
  <c r="AR5" i="77" s="1"/>
  <c r="AG69" i="77"/>
  <c r="AI69" i="77" s="1"/>
  <c r="AR4" i="77" s="1"/>
  <c r="AG66" i="77"/>
  <c r="AI66" i="77" s="1"/>
  <c r="AQ12" i="77" s="1"/>
  <c r="AI65" i="77"/>
  <c r="AG65" i="77"/>
  <c r="AI64" i="77"/>
  <c r="AG64" i="77"/>
  <c r="AG63" i="77"/>
  <c r="AI63" i="77" s="1"/>
  <c r="AQ9" i="77" s="1"/>
  <c r="AG62" i="77"/>
  <c r="AI62" i="77" s="1"/>
  <c r="AQ8" i="77" s="1"/>
  <c r="AG61" i="77"/>
  <c r="AI61" i="77" s="1"/>
  <c r="AQ7" i="77" s="1"/>
  <c r="AG60" i="77"/>
  <c r="AI60" i="77" s="1"/>
  <c r="AQ6" i="77" s="1"/>
  <c r="AG59" i="77"/>
  <c r="AI59" i="77" s="1"/>
  <c r="AQ5" i="77" s="1"/>
  <c r="BA9" i="77" s="1"/>
  <c r="AG58" i="77"/>
  <c r="AI58" i="77" s="1"/>
  <c r="AQ4" i="77" s="1"/>
  <c r="AI55" i="77"/>
  <c r="AG55" i="77"/>
  <c r="AI54" i="77"/>
  <c r="AG54" i="77"/>
  <c r="AI53" i="77"/>
  <c r="AG53" i="77"/>
  <c r="AG52" i="77"/>
  <c r="AI52" i="77" s="1"/>
  <c r="AP9" i="77" s="1"/>
  <c r="AG51" i="77"/>
  <c r="AI51" i="77" s="1"/>
  <c r="AP8" i="77" s="1"/>
  <c r="AG50" i="77"/>
  <c r="AI50" i="77" s="1"/>
  <c r="AP7" i="77" s="1"/>
  <c r="AG49" i="77"/>
  <c r="AI49" i="77" s="1"/>
  <c r="AP6" i="77" s="1"/>
  <c r="AG48" i="77"/>
  <c r="AI48" i="77" s="1"/>
  <c r="AP5" i="77" s="1"/>
  <c r="AG47" i="77"/>
  <c r="AI47" i="77" s="1"/>
  <c r="AP4" i="77" s="1"/>
  <c r="AG44" i="77"/>
  <c r="AI44" i="77" s="1"/>
  <c r="AO12" i="77" s="1"/>
  <c r="AI43" i="77"/>
  <c r="AO11" i="77" s="1"/>
  <c r="AG43" i="77"/>
  <c r="AI42" i="77"/>
  <c r="AG42" i="77"/>
  <c r="AG41" i="77"/>
  <c r="AI41" i="77" s="1"/>
  <c r="AO9" i="77" s="1"/>
  <c r="AG40" i="77"/>
  <c r="AI40" i="77" s="1"/>
  <c r="AO8" i="77" s="1"/>
  <c r="AG39" i="77"/>
  <c r="AI39" i="77" s="1"/>
  <c r="AO7" i="77" s="1"/>
  <c r="AG38" i="77"/>
  <c r="AI38" i="77" s="1"/>
  <c r="AO6" i="77" s="1"/>
  <c r="AG37" i="77"/>
  <c r="AI37" i="77" s="1"/>
  <c r="AO5" i="77" s="1"/>
  <c r="AG36" i="77"/>
  <c r="AI36" i="77" s="1"/>
  <c r="AO4" i="77" s="1"/>
  <c r="AI33" i="77"/>
  <c r="AG33" i="77"/>
  <c r="AI32" i="77"/>
  <c r="AG32" i="77"/>
  <c r="AI31" i="77"/>
  <c r="AG31" i="77"/>
  <c r="AG30" i="77"/>
  <c r="AI30" i="77" s="1"/>
  <c r="AN9" i="77" s="1"/>
  <c r="AG29" i="77"/>
  <c r="AI29" i="77" s="1"/>
  <c r="AN8" i="77" s="1"/>
  <c r="AN27" i="77" s="1"/>
  <c r="AG28" i="77"/>
  <c r="AI28" i="77" s="1"/>
  <c r="AN7" i="77" s="1"/>
  <c r="AG27" i="77"/>
  <c r="AI27" i="77" s="1"/>
  <c r="AN6" i="77" s="1"/>
  <c r="AG26" i="77"/>
  <c r="AI26" i="77" s="1"/>
  <c r="AN5" i="77" s="1"/>
  <c r="BA25" i="77"/>
  <c r="BC25" i="77" s="1"/>
  <c r="AG25" i="77"/>
  <c r="AI25" i="77" s="1"/>
  <c r="AN4" i="77" s="1"/>
  <c r="BA24" i="77"/>
  <c r="BC24" i="77" s="1"/>
  <c r="BA23" i="77"/>
  <c r="BC23" i="77" s="1"/>
  <c r="BC22" i="77"/>
  <c r="BA22" i="77"/>
  <c r="AI22" i="77"/>
  <c r="AM12" i="77" s="1"/>
  <c r="AG22" i="77"/>
  <c r="BC21" i="77"/>
  <c r="BA21" i="77"/>
  <c r="AG21" i="77"/>
  <c r="AI21" i="77" s="1"/>
  <c r="AM11" i="77" s="1"/>
  <c r="BA20" i="77"/>
  <c r="BC20" i="77" s="1"/>
  <c r="AG20" i="77"/>
  <c r="AI20" i="77" s="1"/>
  <c r="AM10" i="77" s="1"/>
  <c r="BC19" i="77"/>
  <c r="BA19" i="77"/>
  <c r="AG19" i="77"/>
  <c r="AI19" i="77" s="1"/>
  <c r="AM9" i="77" s="1"/>
  <c r="BC18" i="77"/>
  <c r="BA18" i="77"/>
  <c r="AG18" i="77"/>
  <c r="AI18" i="77" s="1"/>
  <c r="AM8" i="77" s="1"/>
  <c r="BA17" i="77"/>
  <c r="BC17" i="77" s="1"/>
  <c r="AG17" i="77"/>
  <c r="AI17" i="77" s="1"/>
  <c r="AM7" i="77" s="1"/>
  <c r="BC16" i="77"/>
  <c r="BA16" i="77"/>
  <c r="AG16" i="77"/>
  <c r="AI16" i="77" s="1"/>
  <c r="AM6" i="77" s="1"/>
  <c r="AG15" i="77"/>
  <c r="AI15" i="77" s="1"/>
  <c r="AM5" i="77" s="1"/>
  <c r="AG14" i="77"/>
  <c r="AI14" i="77" s="1"/>
  <c r="AM4" i="77" s="1"/>
  <c r="AU12" i="77"/>
  <c r="AT12" i="77"/>
  <c r="AR12" i="77"/>
  <c r="AP12" i="77"/>
  <c r="AN12" i="77"/>
  <c r="AV11" i="77"/>
  <c r="AU11" i="77"/>
  <c r="AT11" i="77"/>
  <c r="AS11" i="77"/>
  <c r="AR11" i="77"/>
  <c r="AQ11" i="77"/>
  <c r="AP11" i="77"/>
  <c r="AN11" i="77"/>
  <c r="AG11" i="77"/>
  <c r="AI11" i="77" s="1"/>
  <c r="AL12" i="77" s="1"/>
  <c r="AV10" i="77"/>
  <c r="AU10" i="77"/>
  <c r="AT10" i="77"/>
  <c r="AS10" i="77"/>
  <c r="AQ10" i="77"/>
  <c r="AP10" i="77"/>
  <c r="AO10" i="77"/>
  <c r="AN10" i="77"/>
  <c r="AG10" i="77"/>
  <c r="AI10" i="77" s="1"/>
  <c r="AL11" i="77" s="1"/>
  <c r="AG9" i="77"/>
  <c r="AI9" i="77" s="1"/>
  <c r="AL10" i="77" s="1"/>
  <c r="AG8" i="77"/>
  <c r="AI8" i="77" s="1"/>
  <c r="AL9" i="77" s="1"/>
  <c r="AG7" i="77"/>
  <c r="AI7" i="77" s="1"/>
  <c r="AL8" i="77" s="1"/>
  <c r="AG6" i="77"/>
  <c r="AI6" i="77" s="1"/>
  <c r="AL7" i="77" s="1"/>
  <c r="AG5" i="77"/>
  <c r="AI5" i="77" s="1"/>
  <c r="AL6" i="77" s="1"/>
  <c r="AG4" i="77"/>
  <c r="AI4" i="77" s="1"/>
  <c r="AL5" i="77" s="1"/>
  <c r="AG3" i="77"/>
  <c r="AI3" i="77" s="1"/>
  <c r="AL4" i="77" s="1"/>
  <c r="AQ25" i="77" l="1"/>
  <c r="AT26" i="77"/>
  <c r="AT24" i="77"/>
  <c r="AT21" i="77"/>
  <c r="AT23" i="77"/>
  <c r="AT20" i="77"/>
  <c r="BB13" i="77"/>
  <c r="BC13" i="77" s="1"/>
  <c r="AV27" i="77"/>
  <c r="AV26" i="77"/>
  <c r="AV22" i="77"/>
  <c r="AV23" i="77"/>
  <c r="AV24" i="77"/>
  <c r="AU27" i="77"/>
  <c r="AU26" i="77"/>
  <c r="AU25" i="77"/>
  <c r="BA12" i="77"/>
  <c r="AU23" i="77"/>
  <c r="AU24" i="77"/>
  <c r="AU21" i="77"/>
  <c r="AS13" i="77"/>
  <c r="AS28" i="77" s="1"/>
  <c r="AS27" i="77"/>
  <c r="AS26" i="77"/>
  <c r="AS21" i="77"/>
  <c r="AS24" i="77"/>
  <c r="AR27" i="77"/>
  <c r="AR25" i="77"/>
  <c r="BA10" i="77"/>
  <c r="AR22" i="77"/>
  <c r="AR23" i="77"/>
  <c r="AR21" i="77"/>
  <c r="AR20" i="77"/>
  <c r="AQ13" i="77"/>
  <c r="AQ28" i="77" s="1"/>
  <c r="AQ27" i="77"/>
  <c r="AQ26" i="77"/>
  <c r="AQ20" i="77"/>
  <c r="AQ24" i="77"/>
  <c r="AQ21" i="77"/>
  <c r="AQ23" i="77"/>
  <c r="AP13" i="77"/>
  <c r="AP28" i="77" s="1"/>
  <c r="AP26" i="77"/>
  <c r="AP25" i="77"/>
  <c r="BA8" i="77"/>
  <c r="AP22" i="77"/>
  <c r="AP21" i="77"/>
  <c r="AP23" i="77"/>
  <c r="AP24" i="77"/>
  <c r="AP20" i="77"/>
  <c r="AO13" i="77"/>
  <c r="AO28" i="77" s="1"/>
  <c r="AO27" i="77"/>
  <c r="AO26" i="77"/>
  <c r="AO24" i="77"/>
  <c r="AO23" i="77"/>
  <c r="AO20" i="77"/>
  <c r="AN23" i="77"/>
  <c r="AN24" i="77"/>
  <c r="AN21" i="77"/>
  <c r="AN20" i="77"/>
  <c r="AM27" i="77"/>
  <c r="AW4" i="77"/>
  <c r="AM26" i="77"/>
  <c r="AM25" i="77"/>
  <c r="AM24" i="77"/>
  <c r="AM21" i="77"/>
  <c r="AM23" i="77"/>
  <c r="AM20" i="77"/>
  <c r="AW8" i="77"/>
  <c r="AL23" i="77"/>
  <c r="AR13" i="77"/>
  <c r="AR28" i="77" s="1"/>
  <c r="AR24" i="77"/>
  <c r="AT13" i="77"/>
  <c r="AT28" i="77" s="1"/>
  <c r="AT22" i="77"/>
  <c r="AL25" i="77"/>
  <c r="AW10" i="77"/>
  <c r="AL22" i="77"/>
  <c r="BB4" i="77"/>
  <c r="AL13" i="77"/>
  <c r="AL28" i="77" s="1"/>
  <c r="AW7" i="77"/>
  <c r="AM13" i="77"/>
  <c r="AM28" i="77" s="1"/>
  <c r="BB5" i="77"/>
  <c r="AM22" i="77"/>
  <c r="AO21" i="77"/>
  <c r="AO25" i="77"/>
  <c r="AW9" i="77"/>
  <c r="AL24" i="77"/>
  <c r="AU13" i="77"/>
  <c r="AU28" i="77" s="1"/>
  <c r="AU22" i="77"/>
  <c r="BB12" i="77"/>
  <c r="AL21" i="77"/>
  <c r="AW6" i="77"/>
  <c r="AW12" i="77"/>
  <c r="AL27" i="77"/>
  <c r="AT27" i="77"/>
  <c r="AL20" i="77"/>
  <c r="BA4" i="77"/>
  <c r="AW5" i="77"/>
  <c r="AV25" i="77"/>
  <c r="AV21" i="77"/>
  <c r="AL26" i="77"/>
  <c r="AW11" i="77"/>
  <c r="AS25" i="77"/>
  <c r="BB10" i="77"/>
  <c r="BB6" i="77"/>
  <c r="AN13" i="77"/>
  <c r="AN28" i="77" s="1"/>
  <c r="AN22" i="77"/>
  <c r="AP27" i="77"/>
  <c r="AN26" i="77"/>
  <c r="AN25" i="77"/>
  <c r="AS20" i="77"/>
  <c r="AS23" i="77"/>
  <c r="BA11" i="77"/>
  <c r="AS22" i="77"/>
  <c r="BB9" i="77"/>
  <c r="BC9" i="77" s="1"/>
  <c r="BA7" i="77"/>
  <c r="AV13" i="77"/>
  <c r="AV28" i="77" s="1"/>
  <c r="AU20" i="77"/>
  <c r="BB7" i="77"/>
  <c r="AV20" i="77"/>
  <c r="BA5" i="77"/>
  <c r="AO22" i="77"/>
  <c r="AT25" i="77"/>
  <c r="AQ22" i="77"/>
  <c r="BB8" i="77"/>
  <c r="BA6" i="77"/>
  <c r="BB11" i="77"/>
  <c r="BC11" i="77" s="1"/>
  <c r="H12" i="66"/>
  <c r="H13" i="66"/>
  <c r="BC8" i="77" l="1"/>
  <c r="BC7" i="77"/>
  <c r="BC12" i="77"/>
  <c r="BC10" i="77"/>
  <c r="AW20" i="77"/>
  <c r="AW21" i="77"/>
  <c r="AW27" i="77"/>
  <c r="BC4" i="77"/>
  <c r="AW22" i="77"/>
  <c r="AW13" i="77"/>
  <c r="AW28" i="77" s="1"/>
  <c r="BC6" i="77"/>
  <c r="BC5" i="77"/>
  <c r="AW26" i="77"/>
  <c r="AW25" i="77"/>
  <c r="AW24" i="77"/>
  <c r="AW23" i="77"/>
  <c r="H43" i="66"/>
  <c r="H44" i="66"/>
  <c r="G81" i="66"/>
  <c r="L49" i="66" s="1"/>
  <c r="H80" i="66"/>
  <c r="H78" i="66"/>
  <c r="H79" i="66"/>
  <c r="K21" i="75" l="1"/>
  <c r="O20" i="75"/>
  <c r="K11" i="75"/>
  <c r="L7" i="75" s="1"/>
  <c r="O10" i="75"/>
  <c r="P7" i="75" s="1"/>
  <c r="P6" i="75" l="1"/>
  <c r="P9" i="75"/>
  <c r="P8" i="75"/>
  <c r="L6" i="75"/>
  <c r="L10" i="75"/>
  <c r="L9" i="75"/>
  <c r="L8" i="75"/>
  <c r="AI123" i="76"/>
  <c r="AT12" i="76" s="1"/>
  <c r="AG123" i="76"/>
  <c r="AG122" i="76"/>
  <c r="AI122" i="76" s="1"/>
  <c r="AI121" i="76"/>
  <c r="AG121" i="76"/>
  <c r="AG120" i="76"/>
  <c r="AI120" i="76" s="1"/>
  <c r="AT9" i="76" s="1"/>
  <c r="AG119" i="76"/>
  <c r="AI119" i="76" s="1"/>
  <c r="AT8" i="76" s="1"/>
  <c r="AG118" i="76"/>
  <c r="AI118" i="76" s="1"/>
  <c r="AT7" i="76" s="1"/>
  <c r="AG117" i="76"/>
  <c r="AI117" i="76" s="1"/>
  <c r="AT6" i="76" s="1"/>
  <c r="AG116" i="76"/>
  <c r="AI116" i="76" s="1"/>
  <c r="AT5" i="76" s="1"/>
  <c r="AG115" i="76"/>
  <c r="AI115" i="76" s="1"/>
  <c r="AT4" i="76" s="1"/>
  <c r="AI110" i="76"/>
  <c r="AG110" i="76"/>
  <c r="AG109" i="76"/>
  <c r="AI109" i="76" s="1"/>
  <c r="AV11" i="76" s="1"/>
  <c r="AV26" i="76" s="1"/>
  <c r="AI108" i="76"/>
  <c r="AV10" i="76" s="1"/>
  <c r="AV25" i="76" s="1"/>
  <c r="AG108" i="76"/>
  <c r="AI107" i="76"/>
  <c r="AV9" i="76" s="1"/>
  <c r="AG107" i="76"/>
  <c r="AG106" i="76"/>
  <c r="AI106" i="76" s="1"/>
  <c r="AI105" i="76"/>
  <c r="AG105" i="76"/>
  <c r="AI104" i="76"/>
  <c r="AG104" i="76"/>
  <c r="AG103" i="76"/>
  <c r="AI103" i="76" s="1"/>
  <c r="AV5" i="76" s="1"/>
  <c r="AI102" i="76"/>
  <c r="AV4" i="76" s="1"/>
  <c r="AG102" i="76"/>
  <c r="AI99" i="76"/>
  <c r="AU12" i="76" s="1"/>
  <c r="AG99" i="76"/>
  <c r="AG98" i="76"/>
  <c r="AI98" i="76" s="1"/>
  <c r="AU11" i="76" s="1"/>
  <c r="AU26" i="76" s="1"/>
  <c r="AI97" i="76"/>
  <c r="AG97" i="76"/>
  <c r="AI96" i="76"/>
  <c r="AU9" i="76" s="1"/>
  <c r="AU24" i="76" s="1"/>
  <c r="AG96" i="76"/>
  <c r="AG95" i="76"/>
  <c r="AI95" i="76" s="1"/>
  <c r="AI94" i="76"/>
  <c r="AU7" i="76" s="1"/>
  <c r="AG94" i="76"/>
  <c r="AI93" i="76"/>
  <c r="AG93" i="76"/>
  <c r="AI92" i="76"/>
  <c r="AG92" i="76"/>
  <c r="AI91" i="76"/>
  <c r="AG91" i="76"/>
  <c r="AI88" i="76"/>
  <c r="AG88" i="76"/>
  <c r="AG87" i="76"/>
  <c r="AI87" i="76" s="1"/>
  <c r="AS11" i="76" s="1"/>
  <c r="AI86" i="76"/>
  <c r="AS10" i="76" s="1"/>
  <c r="AG86" i="76"/>
  <c r="AG85" i="76"/>
  <c r="AI85" i="76" s="1"/>
  <c r="AS9" i="76" s="1"/>
  <c r="AG84" i="76"/>
  <c r="AI84" i="76" s="1"/>
  <c r="AS8" i="76" s="1"/>
  <c r="AG83" i="76"/>
  <c r="AI83" i="76" s="1"/>
  <c r="AS7" i="76" s="1"/>
  <c r="AG82" i="76"/>
  <c r="AI82" i="76" s="1"/>
  <c r="AS6" i="76" s="1"/>
  <c r="AG81" i="76"/>
  <c r="AI81" i="76" s="1"/>
  <c r="AS5" i="76" s="1"/>
  <c r="AG80" i="76"/>
  <c r="AI80" i="76" s="1"/>
  <c r="AS4" i="76" s="1"/>
  <c r="AI77" i="76"/>
  <c r="AG77" i="76"/>
  <c r="AI76" i="76"/>
  <c r="AG76" i="76"/>
  <c r="AI75" i="76"/>
  <c r="AG75" i="76"/>
  <c r="AG74" i="76"/>
  <c r="AI74" i="76" s="1"/>
  <c r="AR9" i="76" s="1"/>
  <c r="AG73" i="76"/>
  <c r="AI73" i="76" s="1"/>
  <c r="AR8" i="76" s="1"/>
  <c r="AG72" i="76"/>
  <c r="AI72" i="76" s="1"/>
  <c r="AR7" i="76" s="1"/>
  <c r="AG71" i="76"/>
  <c r="AI71" i="76" s="1"/>
  <c r="AR6" i="76" s="1"/>
  <c r="AR25" i="76" s="1"/>
  <c r="AG70" i="76"/>
  <c r="AI70" i="76" s="1"/>
  <c r="AR5" i="76" s="1"/>
  <c r="BA10" i="76" s="1"/>
  <c r="AG69" i="76"/>
  <c r="AI69" i="76" s="1"/>
  <c r="AR4" i="76" s="1"/>
  <c r="AI66" i="76"/>
  <c r="AG66" i="76"/>
  <c r="AG65" i="76"/>
  <c r="AI65" i="76" s="1"/>
  <c r="AQ11" i="76" s="1"/>
  <c r="AG64" i="76"/>
  <c r="AI64" i="76" s="1"/>
  <c r="AQ10" i="76" s="1"/>
  <c r="AG63" i="76"/>
  <c r="AI63" i="76" s="1"/>
  <c r="AQ9" i="76" s="1"/>
  <c r="AG62" i="76"/>
  <c r="AI62" i="76" s="1"/>
  <c r="AQ8" i="76" s="1"/>
  <c r="AG61" i="76"/>
  <c r="AI61" i="76" s="1"/>
  <c r="AQ7" i="76" s="1"/>
  <c r="AG60" i="76"/>
  <c r="AI60" i="76" s="1"/>
  <c r="AQ6" i="76" s="1"/>
  <c r="AG59" i="76"/>
  <c r="AI59" i="76" s="1"/>
  <c r="AQ5" i="76" s="1"/>
  <c r="AG58" i="76"/>
  <c r="AI58" i="76" s="1"/>
  <c r="AQ4" i="76" s="1"/>
  <c r="AI55" i="76"/>
  <c r="AG55" i="76"/>
  <c r="AI54" i="76"/>
  <c r="AG54" i="76"/>
  <c r="AI53" i="76"/>
  <c r="AG53" i="76"/>
  <c r="AG52" i="76"/>
  <c r="AI52" i="76" s="1"/>
  <c r="AP9" i="76" s="1"/>
  <c r="AG51" i="76"/>
  <c r="AI51" i="76" s="1"/>
  <c r="AP8" i="76" s="1"/>
  <c r="AG50" i="76"/>
  <c r="AI50" i="76" s="1"/>
  <c r="AP7" i="76" s="1"/>
  <c r="AG49" i="76"/>
  <c r="AI49" i="76" s="1"/>
  <c r="AP6" i="76" s="1"/>
  <c r="AP25" i="76" s="1"/>
  <c r="AG48" i="76"/>
  <c r="AI48" i="76" s="1"/>
  <c r="AP5" i="76" s="1"/>
  <c r="BA8" i="76" s="1"/>
  <c r="AG47" i="76"/>
  <c r="AI47" i="76" s="1"/>
  <c r="AP4" i="76" s="1"/>
  <c r="AI44" i="76"/>
  <c r="AG44" i="76"/>
  <c r="AG43" i="76"/>
  <c r="AI43" i="76" s="1"/>
  <c r="AO11" i="76" s="1"/>
  <c r="AG42" i="76"/>
  <c r="AI42" i="76" s="1"/>
  <c r="AO10" i="76" s="1"/>
  <c r="AG41" i="76"/>
  <c r="AI41" i="76" s="1"/>
  <c r="AO9" i="76" s="1"/>
  <c r="AG40" i="76"/>
  <c r="AI40" i="76" s="1"/>
  <c r="AO8" i="76" s="1"/>
  <c r="AG39" i="76"/>
  <c r="AI39" i="76" s="1"/>
  <c r="AO7" i="76" s="1"/>
  <c r="AG38" i="76"/>
  <c r="AI38" i="76" s="1"/>
  <c r="AO6" i="76" s="1"/>
  <c r="AG37" i="76"/>
  <c r="AI37" i="76" s="1"/>
  <c r="AO5" i="76" s="1"/>
  <c r="AG36" i="76"/>
  <c r="AI36" i="76" s="1"/>
  <c r="AO4" i="76" s="1"/>
  <c r="AI33" i="76"/>
  <c r="AN12" i="76" s="1"/>
  <c r="AG33" i="76"/>
  <c r="AI32" i="76"/>
  <c r="AG32" i="76"/>
  <c r="AI31" i="76"/>
  <c r="AG31" i="76"/>
  <c r="AG30" i="76"/>
  <c r="AI30" i="76" s="1"/>
  <c r="AG29" i="76"/>
  <c r="AI29" i="76" s="1"/>
  <c r="AN8" i="76" s="1"/>
  <c r="AG28" i="76"/>
  <c r="AI28" i="76" s="1"/>
  <c r="AN7" i="76" s="1"/>
  <c r="AG27" i="76"/>
  <c r="AI27" i="76" s="1"/>
  <c r="AN6" i="76" s="1"/>
  <c r="AG26" i="76"/>
  <c r="AI26" i="76" s="1"/>
  <c r="AN5" i="76" s="1"/>
  <c r="BA25" i="76"/>
  <c r="BC25" i="76" s="1"/>
  <c r="AU25" i="76"/>
  <c r="AG25" i="76"/>
  <c r="AI25" i="76" s="1"/>
  <c r="AN4" i="76" s="1"/>
  <c r="BA24" i="76"/>
  <c r="BC24" i="76" s="1"/>
  <c r="BC23" i="76"/>
  <c r="BA23" i="76"/>
  <c r="BC22" i="76"/>
  <c r="BA22" i="76"/>
  <c r="AG22" i="76"/>
  <c r="AI22" i="76" s="1"/>
  <c r="AM12" i="76" s="1"/>
  <c r="BA21" i="76"/>
  <c r="BC21" i="76" s="1"/>
  <c r="AU21" i="76"/>
  <c r="AG21" i="76"/>
  <c r="AI21" i="76" s="1"/>
  <c r="AM11" i="76" s="1"/>
  <c r="BA20" i="76"/>
  <c r="BC20" i="76" s="1"/>
  <c r="AI20" i="76"/>
  <c r="AM10" i="76" s="1"/>
  <c r="AG20" i="76"/>
  <c r="BA19" i="76"/>
  <c r="BC19" i="76" s="1"/>
  <c r="AG19" i="76"/>
  <c r="AI19" i="76" s="1"/>
  <c r="AM9" i="76" s="1"/>
  <c r="BA18" i="76"/>
  <c r="BC18" i="76" s="1"/>
  <c r="AG18" i="76"/>
  <c r="AI18" i="76" s="1"/>
  <c r="AM8" i="76" s="1"/>
  <c r="AM27" i="76" s="1"/>
  <c r="BA17" i="76"/>
  <c r="BC17" i="76" s="1"/>
  <c r="AG17" i="76"/>
  <c r="AI17" i="76" s="1"/>
  <c r="AM7" i="76" s="1"/>
  <c r="BA16" i="76"/>
  <c r="BC16" i="76" s="1"/>
  <c r="AG16" i="76"/>
  <c r="AI16" i="76" s="1"/>
  <c r="AM6" i="76" s="1"/>
  <c r="AG15" i="76"/>
  <c r="AI15" i="76" s="1"/>
  <c r="AM5" i="76" s="1"/>
  <c r="AG14" i="76"/>
  <c r="AI14" i="76" s="1"/>
  <c r="AM4" i="76" s="1"/>
  <c r="BB13" i="76"/>
  <c r="BA12" i="76"/>
  <c r="AV12" i="76"/>
  <c r="AS12" i="76"/>
  <c r="AR12" i="76"/>
  <c r="AQ12" i="76"/>
  <c r="AP12" i="76"/>
  <c r="AO12" i="76"/>
  <c r="AL12" i="76"/>
  <c r="AT11" i="76"/>
  <c r="AR11" i="76"/>
  <c r="AP11" i="76"/>
  <c r="AN11" i="76"/>
  <c r="AG11" i="76"/>
  <c r="AI11" i="76" s="1"/>
  <c r="AU10" i="76"/>
  <c r="AT10" i="76"/>
  <c r="AR10" i="76"/>
  <c r="AP10" i="76"/>
  <c r="AN10" i="76"/>
  <c r="AL10" i="76"/>
  <c r="AI10" i="76"/>
  <c r="AL11" i="76" s="1"/>
  <c r="AG10" i="76"/>
  <c r="AI9" i="76"/>
  <c r="AG9" i="76"/>
  <c r="AV8" i="76"/>
  <c r="AU8" i="76"/>
  <c r="AU23" i="76" s="1"/>
  <c r="AG8" i="76"/>
  <c r="AI8" i="76" s="1"/>
  <c r="AL9" i="76" s="1"/>
  <c r="AV7" i="76"/>
  <c r="AG7" i="76"/>
  <c r="AI7" i="76" s="1"/>
  <c r="AL8" i="76" s="1"/>
  <c r="AV6" i="76"/>
  <c r="AU6" i="76"/>
  <c r="AG6" i="76"/>
  <c r="AI6" i="76" s="1"/>
  <c r="AL7" i="76" s="1"/>
  <c r="AU5" i="76"/>
  <c r="AU20" i="76" s="1"/>
  <c r="AG5" i="76"/>
  <c r="AI5" i="76" s="1"/>
  <c r="AL6" i="76" s="1"/>
  <c r="AU4" i="76"/>
  <c r="AG4" i="76"/>
  <c r="AI4" i="76" s="1"/>
  <c r="AL5" i="76" s="1"/>
  <c r="AG3" i="76"/>
  <c r="AI3" i="76" s="1"/>
  <c r="AL4" i="76" s="1"/>
  <c r="C21" i="75"/>
  <c r="D17" i="75" s="1"/>
  <c r="G10" i="75"/>
  <c r="H7" i="75" s="1"/>
  <c r="G20" i="75"/>
  <c r="H17" i="75" s="1"/>
  <c r="AT27" i="76" l="1"/>
  <c r="AT25" i="76"/>
  <c r="AT20" i="76"/>
  <c r="AT21" i="76"/>
  <c r="AS27" i="76"/>
  <c r="AS26" i="76"/>
  <c r="AS25" i="76"/>
  <c r="AS23" i="76"/>
  <c r="AS24" i="76"/>
  <c r="AS21" i="76"/>
  <c r="BB10" i="76"/>
  <c r="BC10" i="76" s="1"/>
  <c r="AR27" i="76"/>
  <c r="AR20" i="76"/>
  <c r="AR24" i="76"/>
  <c r="AR23" i="76"/>
  <c r="AQ27" i="76"/>
  <c r="AQ13" i="76"/>
  <c r="AQ28" i="76" s="1"/>
  <c r="BB9" i="76"/>
  <c r="AQ26" i="76"/>
  <c r="AW10" i="76"/>
  <c r="AL24" i="76"/>
  <c r="AL23" i="76"/>
  <c r="AL20" i="76"/>
  <c r="AO27" i="76"/>
  <c r="AO26" i="76"/>
  <c r="AN27" i="76"/>
  <c r="AN23" i="76"/>
  <c r="AM13" i="76"/>
  <c r="AM28" i="76" s="1"/>
  <c r="AM25" i="76"/>
  <c r="AM23" i="76"/>
  <c r="AP24" i="76"/>
  <c r="AP23" i="76"/>
  <c r="AP20" i="76"/>
  <c r="P20" i="75"/>
  <c r="L21" i="75"/>
  <c r="P10" i="75"/>
  <c r="L11" i="75"/>
  <c r="AO20" i="76"/>
  <c r="BA7" i="76"/>
  <c r="AO23" i="76"/>
  <c r="AL22" i="76"/>
  <c r="BB4" i="76"/>
  <c r="AL13" i="76"/>
  <c r="AL28" i="76" s="1"/>
  <c r="AW7" i="76"/>
  <c r="AM24" i="76"/>
  <c r="BB5" i="76"/>
  <c r="BB6" i="76"/>
  <c r="AN26" i="76"/>
  <c r="AN22" i="76"/>
  <c r="AN13" i="76"/>
  <c r="AN28" i="76" s="1"/>
  <c r="AV22" i="76"/>
  <c r="AV20" i="76"/>
  <c r="BA13" i="76"/>
  <c r="BC13" i="76" s="1"/>
  <c r="AM20" i="76"/>
  <c r="BA5" i="76"/>
  <c r="AW12" i="76"/>
  <c r="AL27" i="76"/>
  <c r="AP21" i="76"/>
  <c r="AQ24" i="76"/>
  <c r="AO24" i="76"/>
  <c r="AR13" i="76"/>
  <c r="AR28" i="76" s="1"/>
  <c r="AR22" i="76"/>
  <c r="AS20" i="76"/>
  <c r="BA11" i="76"/>
  <c r="AS22" i="76"/>
  <c r="AO13" i="76"/>
  <c r="AO28" i="76" s="1"/>
  <c r="BB7" i="76"/>
  <c r="AP27" i="76"/>
  <c r="AQ25" i="76"/>
  <c r="AO25" i="76"/>
  <c r="AM21" i="76"/>
  <c r="AV24" i="76"/>
  <c r="AV13" i="76"/>
  <c r="AV28" i="76" s="1"/>
  <c r="AT13" i="76"/>
  <c r="AT28" i="76" s="1"/>
  <c r="AT22" i="76"/>
  <c r="AW8" i="76"/>
  <c r="AL26" i="76"/>
  <c r="AW11" i="76"/>
  <c r="AO22" i="76"/>
  <c r="AU27" i="76"/>
  <c r="AT23" i="76"/>
  <c r="AT24" i="76"/>
  <c r="AN25" i="76"/>
  <c r="AR26" i="76"/>
  <c r="AL21" i="76"/>
  <c r="AW6" i="76"/>
  <c r="AP13" i="76"/>
  <c r="AP28" i="76" s="1"/>
  <c r="BB8" i="76"/>
  <c r="BC8" i="76" s="1"/>
  <c r="AP26" i="76"/>
  <c r="BA9" i="76"/>
  <c r="AQ20" i="76"/>
  <c r="AQ23" i="76"/>
  <c r="AW4" i="76"/>
  <c r="BA4" i="76"/>
  <c r="AW5" i="76"/>
  <c r="AQ21" i="76"/>
  <c r="AV27" i="76"/>
  <c r="AV23" i="76"/>
  <c r="BA6" i="76"/>
  <c r="AN20" i="76"/>
  <c r="AL25" i="76"/>
  <c r="AP22" i="76"/>
  <c r="AN21" i="76"/>
  <c r="AO21" i="76"/>
  <c r="AM22" i="76"/>
  <c r="AQ22" i="76"/>
  <c r="AV21" i="76"/>
  <c r="BB12" i="76"/>
  <c r="BC12" i="76" s="1"/>
  <c r="AU22" i="76"/>
  <c r="AW9" i="76"/>
  <c r="AN24" i="76"/>
  <c r="AT26" i="76"/>
  <c r="AU13" i="76"/>
  <c r="AU28" i="76" s="1"/>
  <c r="AM26" i="76"/>
  <c r="AR21" i="76"/>
  <c r="BB11" i="76"/>
  <c r="AS13" i="76"/>
  <c r="AS28" i="76" s="1"/>
  <c r="D16" i="75"/>
  <c r="D20" i="75"/>
  <c r="D19" i="75"/>
  <c r="D18" i="75"/>
  <c r="H9" i="75"/>
  <c r="H16" i="75"/>
  <c r="H19" i="75"/>
  <c r="H18" i="75"/>
  <c r="H6" i="75"/>
  <c r="H8" i="75"/>
  <c r="C11" i="75"/>
  <c r="BC11" i="76" l="1"/>
  <c r="BC9" i="76"/>
  <c r="BC4" i="76"/>
  <c r="BC7" i="76"/>
  <c r="BC6" i="76"/>
  <c r="AW23" i="76"/>
  <c r="AW24" i="76"/>
  <c r="AW21" i="76"/>
  <c r="AW27" i="76"/>
  <c r="AW26" i="76"/>
  <c r="BC5" i="76"/>
  <c r="AW22" i="76"/>
  <c r="AW13" i="76"/>
  <c r="AW28" i="76" s="1"/>
  <c r="AW20" i="76"/>
  <c r="AW25" i="76"/>
  <c r="D21" i="75"/>
  <c r="D7" i="75"/>
  <c r="D8" i="75"/>
  <c r="D9" i="75"/>
  <c r="D10" i="75"/>
  <c r="D6" i="75"/>
  <c r="H20" i="75"/>
  <c r="H10" i="75"/>
  <c r="AG123" i="72"/>
  <c r="AI123" i="72" s="1"/>
  <c r="AT12" i="72" s="1"/>
  <c r="AG122" i="72"/>
  <c r="AI122" i="72" s="1"/>
  <c r="AG121" i="72"/>
  <c r="AI121" i="72" s="1"/>
  <c r="AT10" i="72" s="1"/>
  <c r="AG120" i="72"/>
  <c r="AI120" i="72" s="1"/>
  <c r="AT9" i="72" s="1"/>
  <c r="AG119" i="72"/>
  <c r="AI119" i="72" s="1"/>
  <c r="AT8" i="72" s="1"/>
  <c r="AG118" i="72"/>
  <c r="AI118" i="72" s="1"/>
  <c r="AT7" i="72" s="1"/>
  <c r="AG117" i="72"/>
  <c r="AI117" i="72" s="1"/>
  <c r="AT6" i="72" s="1"/>
  <c r="AG116" i="72"/>
  <c r="AI116" i="72" s="1"/>
  <c r="AT5" i="72" s="1"/>
  <c r="AG115" i="72"/>
  <c r="AI115" i="72" s="1"/>
  <c r="AT4" i="72" s="1"/>
  <c r="AG110" i="72"/>
  <c r="AI110" i="72" s="1"/>
  <c r="AG109" i="72"/>
  <c r="AI109" i="72" s="1"/>
  <c r="AV11" i="72" s="1"/>
  <c r="AG108" i="72"/>
  <c r="AI108" i="72" s="1"/>
  <c r="AV10" i="72" s="1"/>
  <c r="AG107" i="72"/>
  <c r="AI107" i="72" s="1"/>
  <c r="AV9" i="72" s="1"/>
  <c r="AG106" i="72"/>
  <c r="AI106" i="72" s="1"/>
  <c r="AV8" i="72" s="1"/>
  <c r="AG105" i="72"/>
  <c r="AI105" i="72" s="1"/>
  <c r="AV7" i="72" s="1"/>
  <c r="AG104" i="72"/>
  <c r="AI104" i="72" s="1"/>
  <c r="AV6" i="72" s="1"/>
  <c r="AG103" i="72"/>
  <c r="AI103" i="72" s="1"/>
  <c r="AV5" i="72" s="1"/>
  <c r="AG102" i="72"/>
  <c r="AI102" i="72" s="1"/>
  <c r="AV4" i="72" s="1"/>
  <c r="AG99" i="72"/>
  <c r="AI99" i="72" s="1"/>
  <c r="AU12" i="72" s="1"/>
  <c r="AG98" i="72"/>
  <c r="AI98" i="72" s="1"/>
  <c r="AU11" i="72" s="1"/>
  <c r="AI97" i="72"/>
  <c r="AG97" i="72"/>
  <c r="AG96" i="72"/>
  <c r="AI96" i="72" s="1"/>
  <c r="AU9" i="72" s="1"/>
  <c r="AG95" i="72"/>
  <c r="AI95" i="72" s="1"/>
  <c r="AU8" i="72" s="1"/>
  <c r="AG94" i="72"/>
  <c r="AI94" i="72" s="1"/>
  <c r="AU7" i="72" s="1"/>
  <c r="AG93" i="72"/>
  <c r="AI93" i="72" s="1"/>
  <c r="AU6" i="72" s="1"/>
  <c r="AG92" i="72"/>
  <c r="AI92" i="72" s="1"/>
  <c r="AU5" i="72" s="1"/>
  <c r="AG91" i="72"/>
  <c r="AI91" i="72" s="1"/>
  <c r="AU4" i="72" s="1"/>
  <c r="AG88" i="72"/>
  <c r="AI88" i="72" s="1"/>
  <c r="AS12" i="72" s="1"/>
  <c r="AG87" i="72"/>
  <c r="AI87" i="72" s="1"/>
  <c r="AS11" i="72" s="1"/>
  <c r="AG86" i="72"/>
  <c r="AI86" i="72" s="1"/>
  <c r="AS10" i="72" s="1"/>
  <c r="AG85" i="72"/>
  <c r="AI85" i="72" s="1"/>
  <c r="AS9" i="72" s="1"/>
  <c r="AG84" i="72"/>
  <c r="AI84" i="72" s="1"/>
  <c r="AS8" i="72" s="1"/>
  <c r="AG83" i="72"/>
  <c r="AI83" i="72" s="1"/>
  <c r="AS7" i="72" s="1"/>
  <c r="AG82" i="72"/>
  <c r="AI82" i="72" s="1"/>
  <c r="AS6" i="72" s="1"/>
  <c r="AG81" i="72"/>
  <c r="AI81" i="72" s="1"/>
  <c r="AS5" i="72" s="1"/>
  <c r="AG80" i="72"/>
  <c r="AI80" i="72" s="1"/>
  <c r="AS4" i="72" s="1"/>
  <c r="AG77" i="72"/>
  <c r="AI77" i="72" s="1"/>
  <c r="AR12" i="72" s="1"/>
  <c r="AG76" i="72"/>
  <c r="AI76" i="72" s="1"/>
  <c r="AI75" i="72"/>
  <c r="AG75" i="72"/>
  <c r="AG74" i="72"/>
  <c r="AI74" i="72" s="1"/>
  <c r="AR9" i="72" s="1"/>
  <c r="AG73" i="72"/>
  <c r="AI73" i="72" s="1"/>
  <c r="AR8" i="72" s="1"/>
  <c r="AG72" i="72"/>
  <c r="AI72" i="72" s="1"/>
  <c r="AR7" i="72" s="1"/>
  <c r="AG71" i="72"/>
  <c r="AI71" i="72" s="1"/>
  <c r="AR6" i="72" s="1"/>
  <c r="AG70" i="72"/>
  <c r="AI70" i="72" s="1"/>
  <c r="AR5" i="72" s="1"/>
  <c r="BA10" i="72" s="1"/>
  <c r="AG69" i="72"/>
  <c r="AI69" i="72" s="1"/>
  <c r="AR4" i="72" s="1"/>
  <c r="AG66" i="72"/>
  <c r="AI66" i="72" s="1"/>
  <c r="AG65" i="72"/>
  <c r="AI65" i="72" s="1"/>
  <c r="AQ11" i="72" s="1"/>
  <c r="AG64" i="72"/>
  <c r="AI64" i="72" s="1"/>
  <c r="AQ10" i="72" s="1"/>
  <c r="AG63" i="72"/>
  <c r="AI63" i="72" s="1"/>
  <c r="AQ9" i="72" s="1"/>
  <c r="AG62" i="72"/>
  <c r="AI62" i="72" s="1"/>
  <c r="AQ8" i="72" s="1"/>
  <c r="AG61" i="72"/>
  <c r="AI61" i="72" s="1"/>
  <c r="AQ7" i="72" s="1"/>
  <c r="AG60" i="72"/>
  <c r="AI60" i="72" s="1"/>
  <c r="AQ6" i="72" s="1"/>
  <c r="AG59" i="72"/>
  <c r="AI59" i="72" s="1"/>
  <c r="AQ5" i="72" s="1"/>
  <c r="AG58" i="72"/>
  <c r="AI58" i="72" s="1"/>
  <c r="AQ4" i="72" s="1"/>
  <c r="AG55" i="72"/>
  <c r="AI55" i="72" s="1"/>
  <c r="AP12" i="72" s="1"/>
  <c r="AG54" i="72"/>
  <c r="AI54" i="72" s="1"/>
  <c r="AP11" i="72" s="1"/>
  <c r="AI53" i="72"/>
  <c r="AG53" i="72"/>
  <c r="AG52" i="72"/>
  <c r="AI52" i="72" s="1"/>
  <c r="AP9" i="72" s="1"/>
  <c r="AG51" i="72"/>
  <c r="AI51" i="72" s="1"/>
  <c r="AP8" i="72" s="1"/>
  <c r="AG50" i="72"/>
  <c r="AI50" i="72" s="1"/>
  <c r="AP7" i="72" s="1"/>
  <c r="AG49" i="72"/>
  <c r="AI49" i="72" s="1"/>
  <c r="AP6" i="72" s="1"/>
  <c r="AG48" i="72"/>
  <c r="AI48" i="72" s="1"/>
  <c r="AP5" i="72" s="1"/>
  <c r="AG47" i="72"/>
  <c r="AI47" i="72" s="1"/>
  <c r="AP4" i="72" s="1"/>
  <c r="AG44" i="72"/>
  <c r="AI44" i="72" s="1"/>
  <c r="AO12" i="72" s="1"/>
  <c r="AG43" i="72"/>
  <c r="AI43" i="72" s="1"/>
  <c r="AO11" i="72" s="1"/>
  <c r="AG42" i="72"/>
  <c r="AI42" i="72" s="1"/>
  <c r="AO10" i="72" s="1"/>
  <c r="AG41" i="72"/>
  <c r="AI41" i="72" s="1"/>
  <c r="AO9" i="72" s="1"/>
  <c r="AG40" i="72"/>
  <c r="AI40" i="72" s="1"/>
  <c r="AO8" i="72" s="1"/>
  <c r="AG39" i="72"/>
  <c r="AI39" i="72" s="1"/>
  <c r="AO7" i="72" s="1"/>
  <c r="AG38" i="72"/>
  <c r="AI38" i="72" s="1"/>
  <c r="AO6" i="72" s="1"/>
  <c r="AG37" i="72"/>
  <c r="AI37" i="72" s="1"/>
  <c r="AO5" i="72" s="1"/>
  <c r="AG36" i="72"/>
  <c r="AI36" i="72" s="1"/>
  <c r="AO4" i="72" s="1"/>
  <c r="AG33" i="72"/>
  <c r="AI33" i="72" s="1"/>
  <c r="AN12" i="72" s="1"/>
  <c r="AG32" i="72"/>
  <c r="AI32" i="72" s="1"/>
  <c r="AI31" i="72"/>
  <c r="AG31" i="72"/>
  <c r="AG30" i="72"/>
  <c r="AI30" i="72" s="1"/>
  <c r="AN9" i="72" s="1"/>
  <c r="AG29" i="72"/>
  <c r="AI29" i="72" s="1"/>
  <c r="AN8" i="72" s="1"/>
  <c r="AG28" i="72"/>
  <c r="AI28" i="72" s="1"/>
  <c r="AN7" i="72" s="1"/>
  <c r="AG27" i="72"/>
  <c r="AI27" i="72" s="1"/>
  <c r="AN6" i="72" s="1"/>
  <c r="AN25" i="72" s="1"/>
  <c r="AG26" i="72"/>
  <c r="AI26" i="72" s="1"/>
  <c r="AN5" i="72" s="1"/>
  <c r="BA25" i="72"/>
  <c r="BC25" i="72" s="1"/>
  <c r="AG25" i="72"/>
  <c r="AI25" i="72" s="1"/>
  <c r="AN4" i="72" s="1"/>
  <c r="BA24" i="72"/>
  <c r="BC24" i="72" s="1"/>
  <c r="BA23" i="72"/>
  <c r="BC23" i="72" s="1"/>
  <c r="BA22" i="72"/>
  <c r="BC22" i="72" s="1"/>
  <c r="AG22" i="72"/>
  <c r="AI22" i="72" s="1"/>
  <c r="AM12" i="72" s="1"/>
  <c r="BA21" i="72"/>
  <c r="BC21" i="72" s="1"/>
  <c r="AG21" i="72"/>
  <c r="AI21" i="72" s="1"/>
  <c r="AM11" i="72" s="1"/>
  <c r="BA20" i="72"/>
  <c r="BC20" i="72" s="1"/>
  <c r="AG20" i="72"/>
  <c r="AI20" i="72" s="1"/>
  <c r="AM10" i="72" s="1"/>
  <c r="BA19" i="72"/>
  <c r="BC19" i="72" s="1"/>
  <c r="AG19" i="72"/>
  <c r="AI19" i="72" s="1"/>
  <c r="AM9" i="72" s="1"/>
  <c r="BA18" i="72"/>
  <c r="BC18" i="72" s="1"/>
  <c r="AG18" i="72"/>
  <c r="AI18" i="72" s="1"/>
  <c r="AM8" i="72" s="1"/>
  <c r="BA17" i="72"/>
  <c r="BC17" i="72" s="1"/>
  <c r="AG17" i="72"/>
  <c r="AI17" i="72" s="1"/>
  <c r="AM7" i="72" s="1"/>
  <c r="BA16" i="72"/>
  <c r="BC16" i="72" s="1"/>
  <c r="AG16" i="72"/>
  <c r="AI16" i="72" s="1"/>
  <c r="AM6" i="72" s="1"/>
  <c r="AG15" i="72"/>
  <c r="AI15" i="72" s="1"/>
  <c r="AM5" i="72" s="1"/>
  <c r="AG14" i="72"/>
  <c r="AI14" i="72" s="1"/>
  <c r="AM4" i="72" s="1"/>
  <c r="AV12" i="72"/>
  <c r="AQ12" i="72"/>
  <c r="AT11" i="72"/>
  <c r="AR11" i="72"/>
  <c r="AN11" i="72"/>
  <c r="AG11" i="72"/>
  <c r="AI11" i="72" s="1"/>
  <c r="AL12" i="72" s="1"/>
  <c r="AU10" i="72"/>
  <c r="AR10" i="72"/>
  <c r="AP10" i="72"/>
  <c r="AN10" i="72"/>
  <c r="AG10" i="72"/>
  <c r="AI10" i="72" s="1"/>
  <c r="AL11" i="72" s="1"/>
  <c r="AG9" i="72"/>
  <c r="AI9" i="72" s="1"/>
  <c r="AL10" i="72" s="1"/>
  <c r="AG8" i="72"/>
  <c r="AI8" i="72" s="1"/>
  <c r="AL9" i="72" s="1"/>
  <c r="AG7" i="72"/>
  <c r="AI7" i="72" s="1"/>
  <c r="AL8" i="72" s="1"/>
  <c r="AG6" i="72"/>
  <c r="AI6" i="72" s="1"/>
  <c r="AL7" i="72" s="1"/>
  <c r="AG5" i="72"/>
  <c r="AI5" i="72" s="1"/>
  <c r="AL6" i="72" s="1"/>
  <c r="AG4" i="72"/>
  <c r="AI4" i="72" s="1"/>
  <c r="AL5" i="72" s="1"/>
  <c r="AG3" i="72"/>
  <c r="AI3" i="72" s="1"/>
  <c r="AL4" i="72" s="1"/>
  <c r="AG123" i="71"/>
  <c r="AI123" i="71" s="1"/>
  <c r="AG122" i="71"/>
  <c r="AI122" i="71" s="1"/>
  <c r="AG121" i="71"/>
  <c r="AI121" i="71" s="1"/>
  <c r="AT10" i="71" s="1"/>
  <c r="AG120" i="71"/>
  <c r="AI120" i="71" s="1"/>
  <c r="AT9" i="71" s="1"/>
  <c r="AG119" i="71"/>
  <c r="AI119" i="71" s="1"/>
  <c r="AT8" i="71" s="1"/>
  <c r="AG118" i="71"/>
  <c r="AI118" i="71" s="1"/>
  <c r="AT7" i="71" s="1"/>
  <c r="AG117" i="71"/>
  <c r="AI117" i="71" s="1"/>
  <c r="AT6" i="71" s="1"/>
  <c r="AG116" i="71"/>
  <c r="AI116" i="71" s="1"/>
  <c r="AT5" i="71" s="1"/>
  <c r="AG115" i="71"/>
  <c r="AI115" i="71" s="1"/>
  <c r="AT4" i="71" s="1"/>
  <c r="AI110" i="71"/>
  <c r="AG110" i="71"/>
  <c r="AI109" i="71"/>
  <c r="AG109" i="71"/>
  <c r="AG108" i="71"/>
  <c r="AI108" i="71" s="1"/>
  <c r="AV10" i="71" s="1"/>
  <c r="AG107" i="71"/>
  <c r="AI107" i="71" s="1"/>
  <c r="AV9" i="71" s="1"/>
  <c r="AG106" i="71"/>
  <c r="AI106" i="71" s="1"/>
  <c r="AV8" i="71" s="1"/>
  <c r="AG105" i="71"/>
  <c r="AI105" i="71" s="1"/>
  <c r="AV7" i="71" s="1"/>
  <c r="AG104" i="71"/>
  <c r="AI104" i="71" s="1"/>
  <c r="AV6" i="71" s="1"/>
  <c r="AG103" i="71"/>
  <c r="AI103" i="71" s="1"/>
  <c r="AV5" i="71" s="1"/>
  <c r="AG102" i="71"/>
  <c r="AI102" i="71" s="1"/>
  <c r="AV4" i="71" s="1"/>
  <c r="AG99" i="71"/>
  <c r="AI99" i="71" s="1"/>
  <c r="AU12" i="71" s="1"/>
  <c r="AG98" i="71"/>
  <c r="AI98" i="71" s="1"/>
  <c r="AG97" i="71"/>
  <c r="AI97" i="71" s="1"/>
  <c r="AU10" i="71" s="1"/>
  <c r="AG96" i="71"/>
  <c r="AI96" i="71" s="1"/>
  <c r="AU9" i="71" s="1"/>
  <c r="AG95" i="71"/>
  <c r="AI95" i="71" s="1"/>
  <c r="AU8" i="71" s="1"/>
  <c r="AG94" i="71"/>
  <c r="AI94" i="71" s="1"/>
  <c r="AU7" i="71" s="1"/>
  <c r="AU22" i="71" s="1"/>
  <c r="AG93" i="71"/>
  <c r="AI93" i="71" s="1"/>
  <c r="AU6" i="71" s="1"/>
  <c r="AG92" i="71"/>
  <c r="AI92" i="71" s="1"/>
  <c r="AU5" i="71" s="1"/>
  <c r="AG91" i="71"/>
  <c r="AI91" i="71" s="1"/>
  <c r="AU4" i="71" s="1"/>
  <c r="AI88" i="71"/>
  <c r="AS12" i="71" s="1"/>
  <c r="AG88" i="71"/>
  <c r="AI87" i="71"/>
  <c r="AG87" i="71"/>
  <c r="AG86" i="71"/>
  <c r="AI86" i="71" s="1"/>
  <c r="AS10" i="71" s="1"/>
  <c r="AG85" i="71"/>
  <c r="AI85" i="71" s="1"/>
  <c r="AS9" i="71" s="1"/>
  <c r="AG84" i="71"/>
  <c r="AI84" i="71" s="1"/>
  <c r="AS8" i="71" s="1"/>
  <c r="AG83" i="71"/>
  <c r="AI83" i="71" s="1"/>
  <c r="AS7" i="71" s="1"/>
  <c r="AG82" i="71"/>
  <c r="AI82" i="71" s="1"/>
  <c r="AS6" i="71" s="1"/>
  <c r="AG81" i="71"/>
  <c r="AI81" i="71" s="1"/>
  <c r="AS5" i="71" s="1"/>
  <c r="AG80" i="71"/>
  <c r="AI80" i="71" s="1"/>
  <c r="AS4" i="71" s="1"/>
  <c r="AG77" i="71"/>
  <c r="AI77" i="71" s="1"/>
  <c r="AR12" i="71" s="1"/>
  <c r="AG76" i="71"/>
  <c r="AI76" i="71" s="1"/>
  <c r="AR11" i="71" s="1"/>
  <c r="AG75" i="71"/>
  <c r="AI75" i="71" s="1"/>
  <c r="AR10" i="71" s="1"/>
  <c r="AR25" i="71" s="1"/>
  <c r="AG74" i="71"/>
  <c r="AI74" i="71" s="1"/>
  <c r="AR9" i="71" s="1"/>
  <c r="AG73" i="71"/>
  <c r="AI73" i="71" s="1"/>
  <c r="AR8" i="71" s="1"/>
  <c r="AG72" i="71"/>
  <c r="AI72" i="71" s="1"/>
  <c r="AR7" i="71" s="1"/>
  <c r="AR26" i="71" s="1"/>
  <c r="AG71" i="71"/>
  <c r="AI71" i="71" s="1"/>
  <c r="AR6" i="71" s="1"/>
  <c r="AG70" i="71"/>
  <c r="AI70" i="71" s="1"/>
  <c r="AG69" i="71"/>
  <c r="AI69" i="71" s="1"/>
  <c r="AR4" i="71" s="1"/>
  <c r="AI66" i="71"/>
  <c r="AQ12" i="71" s="1"/>
  <c r="AG66" i="71"/>
  <c r="AI65" i="71"/>
  <c r="AG65" i="71"/>
  <c r="AI64" i="71"/>
  <c r="AG64" i="71"/>
  <c r="AG63" i="71"/>
  <c r="AI63" i="71" s="1"/>
  <c r="AQ9" i="71" s="1"/>
  <c r="AG62" i="71"/>
  <c r="AI62" i="71" s="1"/>
  <c r="AQ8" i="71" s="1"/>
  <c r="AG61" i="71"/>
  <c r="AI61" i="71" s="1"/>
  <c r="AQ7" i="71" s="1"/>
  <c r="AG60" i="71"/>
  <c r="AI60" i="71" s="1"/>
  <c r="AQ6" i="71" s="1"/>
  <c r="AG59" i="71"/>
  <c r="AI59" i="71" s="1"/>
  <c r="AQ5" i="71" s="1"/>
  <c r="AG58" i="71"/>
  <c r="AI58" i="71" s="1"/>
  <c r="AQ4" i="71" s="1"/>
  <c r="AG55" i="71"/>
  <c r="AI55" i="71" s="1"/>
  <c r="AP12" i="71" s="1"/>
  <c r="AG54" i="71"/>
  <c r="AI54" i="71" s="1"/>
  <c r="AP11" i="71" s="1"/>
  <c r="AG53" i="71"/>
  <c r="AI53" i="71" s="1"/>
  <c r="AG52" i="71"/>
  <c r="AI52" i="71" s="1"/>
  <c r="AP9" i="71" s="1"/>
  <c r="AG51" i="71"/>
  <c r="AI51" i="71" s="1"/>
  <c r="AP8" i="71" s="1"/>
  <c r="AG50" i="71"/>
  <c r="AI50" i="71" s="1"/>
  <c r="AP7" i="71" s="1"/>
  <c r="AP13" i="71" s="1"/>
  <c r="AP28" i="71" s="1"/>
  <c r="AG49" i="71"/>
  <c r="AI49" i="71" s="1"/>
  <c r="AP6" i="71" s="1"/>
  <c r="AG48" i="71"/>
  <c r="AI48" i="71" s="1"/>
  <c r="AP5" i="71" s="1"/>
  <c r="BA8" i="71" s="1"/>
  <c r="AG47" i="71"/>
  <c r="AI47" i="71" s="1"/>
  <c r="AP4" i="71" s="1"/>
  <c r="AI44" i="71"/>
  <c r="AO12" i="71" s="1"/>
  <c r="AG44" i="71"/>
  <c r="AI43" i="71"/>
  <c r="AG43" i="71"/>
  <c r="AI42" i="71"/>
  <c r="AG42" i="71"/>
  <c r="AG41" i="71"/>
  <c r="AI41" i="71" s="1"/>
  <c r="AO9" i="71" s="1"/>
  <c r="AG40" i="71"/>
  <c r="AI40" i="71" s="1"/>
  <c r="AO8" i="71" s="1"/>
  <c r="AG39" i="71"/>
  <c r="AI39" i="71" s="1"/>
  <c r="AO7" i="71" s="1"/>
  <c r="AG38" i="71"/>
  <c r="AI38" i="71" s="1"/>
  <c r="AO6" i="71" s="1"/>
  <c r="AO21" i="71" s="1"/>
  <c r="AG37" i="71"/>
  <c r="AI37" i="71" s="1"/>
  <c r="AO5" i="71" s="1"/>
  <c r="AG36" i="71"/>
  <c r="AI36" i="71" s="1"/>
  <c r="AO4" i="71" s="1"/>
  <c r="AG33" i="71"/>
  <c r="AI33" i="71" s="1"/>
  <c r="AN12" i="71" s="1"/>
  <c r="AG32" i="71"/>
  <c r="AI32" i="71" s="1"/>
  <c r="AN11" i="71" s="1"/>
  <c r="AG31" i="71"/>
  <c r="AI31" i="71" s="1"/>
  <c r="AN10" i="71" s="1"/>
  <c r="AG30" i="71"/>
  <c r="AI30" i="71" s="1"/>
  <c r="AN9" i="71" s="1"/>
  <c r="AG29" i="71"/>
  <c r="AI29" i="71" s="1"/>
  <c r="AN8" i="71" s="1"/>
  <c r="AN23" i="71" s="1"/>
  <c r="AG28" i="71"/>
  <c r="AI28" i="71" s="1"/>
  <c r="AN7" i="71" s="1"/>
  <c r="BB6" i="71" s="1"/>
  <c r="BC6" i="71" s="1"/>
  <c r="AG27" i="71"/>
  <c r="AI27" i="71" s="1"/>
  <c r="AN6" i="71" s="1"/>
  <c r="AG26" i="71"/>
  <c r="AI26" i="71" s="1"/>
  <c r="AN5" i="71" s="1"/>
  <c r="BA25" i="71"/>
  <c r="BC25" i="71" s="1"/>
  <c r="AG25" i="71"/>
  <c r="AI25" i="71" s="1"/>
  <c r="AN4" i="71" s="1"/>
  <c r="BC24" i="71"/>
  <c r="BA24" i="71"/>
  <c r="BA23" i="71"/>
  <c r="BC23" i="71" s="1"/>
  <c r="BA22" i="71"/>
  <c r="BC22" i="71" s="1"/>
  <c r="AG22" i="71"/>
  <c r="AI22" i="71" s="1"/>
  <c r="AM12" i="71" s="1"/>
  <c r="BA21" i="71"/>
  <c r="BC21" i="71" s="1"/>
  <c r="AG21" i="71"/>
  <c r="AI21" i="71" s="1"/>
  <c r="AM11" i="71" s="1"/>
  <c r="AM26" i="71" s="1"/>
  <c r="BC20" i="71"/>
  <c r="BA20" i="71"/>
  <c r="AG20" i="71"/>
  <c r="AI20" i="71" s="1"/>
  <c r="BA19" i="71"/>
  <c r="BC19" i="71" s="1"/>
  <c r="AG19" i="71"/>
  <c r="AI19" i="71" s="1"/>
  <c r="AM9" i="71" s="1"/>
  <c r="BA18" i="71"/>
  <c r="BC18" i="71" s="1"/>
  <c r="AG18" i="71"/>
  <c r="AI18" i="71" s="1"/>
  <c r="AM8" i="71" s="1"/>
  <c r="AM23" i="71" s="1"/>
  <c r="BC17" i="71"/>
  <c r="BA17" i="71"/>
  <c r="AG17" i="71"/>
  <c r="AI17" i="71" s="1"/>
  <c r="AM7" i="71" s="1"/>
  <c r="BA16" i="71"/>
  <c r="BC16" i="71" s="1"/>
  <c r="AG16" i="71"/>
  <c r="AI16" i="71" s="1"/>
  <c r="AG15" i="71"/>
  <c r="AI15" i="71" s="1"/>
  <c r="AM5" i="71" s="1"/>
  <c r="AG14" i="71"/>
  <c r="AI14" i="71" s="1"/>
  <c r="AM4" i="71" s="1"/>
  <c r="AV12" i="71"/>
  <c r="AT12" i="71"/>
  <c r="AV11" i="71"/>
  <c r="AU11" i="71"/>
  <c r="AT11" i="71"/>
  <c r="AS11" i="71"/>
  <c r="AQ11" i="71"/>
  <c r="AO11" i="71"/>
  <c r="AG11" i="71"/>
  <c r="AI11" i="71" s="1"/>
  <c r="AL12" i="71" s="1"/>
  <c r="AQ10" i="71"/>
  <c r="AP10" i="71"/>
  <c r="AO10" i="71"/>
  <c r="AM10" i="71"/>
  <c r="AM25" i="71" s="1"/>
  <c r="AG10" i="71"/>
  <c r="AI10" i="71" s="1"/>
  <c r="AL11" i="71" s="1"/>
  <c r="AG9" i="71"/>
  <c r="AI9" i="71" s="1"/>
  <c r="AL10" i="71" s="1"/>
  <c r="AG8" i="71"/>
  <c r="AI8" i="71" s="1"/>
  <c r="AL9" i="71" s="1"/>
  <c r="AG7" i="71"/>
  <c r="AI7" i="71" s="1"/>
  <c r="AL8" i="71" s="1"/>
  <c r="BA6" i="71"/>
  <c r="AM6" i="71"/>
  <c r="AG6" i="71"/>
  <c r="AI6" i="71" s="1"/>
  <c r="AL7" i="71" s="1"/>
  <c r="AR5" i="71"/>
  <c r="AG5" i="71"/>
  <c r="AI5" i="71" s="1"/>
  <c r="AL6" i="71" s="1"/>
  <c r="AG4" i="71"/>
  <c r="AI4" i="71" s="1"/>
  <c r="AL5" i="71" s="1"/>
  <c r="AG3" i="71"/>
  <c r="AI3" i="71" s="1"/>
  <c r="AL4" i="71" s="1"/>
  <c r="AT12" i="69"/>
  <c r="AG123" i="69"/>
  <c r="AI123" i="69" s="1"/>
  <c r="AG122" i="69"/>
  <c r="AI122" i="69" s="1"/>
  <c r="AT11" i="69" s="1"/>
  <c r="AG121" i="69"/>
  <c r="AI121" i="69" s="1"/>
  <c r="AT10" i="69" s="1"/>
  <c r="AG120" i="69"/>
  <c r="AI120" i="69" s="1"/>
  <c r="AT9" i="69" s="1"/>
  <c r="AG119" i="69"/>
  <c r="AI119" i="69" s="1"/>
  <c r="AT8" i="69" s="1"/>
  <c r="AT27" i="69" s="1"/>
  <c r="AG118" i="69"/>
  <c r="AI118" i="69" s="1"/>
  <c r="AT7" i="69" s="1"/>
  <c r="AG117" i="69"/>
  <c r="AI117" i="69" s="1"/>
  <c r="AT6" i="69" s="1"/>
  <c r="AG116" i="69"/>
  <c r="AI116" i="69" s="1"/>
  <c r="AT5" i="69" s="1"/>
  <c r="AG115" i="69"/>
  <c r="AI115" i="69" s="1"/>
  <c r="AT4" i="69" s="1"/>
  <c r="AG110" i="69"/>
  <c r="AI110" i="69" s="1"/>
  <c r="AV12" i="69" s="1"/>
  <c r="AG109" i="69"/>
  <c r="AI109" i="69" s="1"/>
  <c r="AV11" i="69" s="1"/>
  <c r="AG108" i="69"/>
  <c r="AI108" i="69" s="1"/>
  <c r="AV10" i="69" s="1"/>
  <c r="AG107" i="69"/>
  <c r="AI107" i="69" s="1"/>
  <c r="AV9" i="69" s="1"/>
  <c r="AG106" i="69"/>
  <c r="AI106" i="69" s="1"/>
  <c r="AV8" i="69" s="1"/>
  <c r="AG105" i="69"/>
  <c r="AI105" i="69" s="1"/>
  <c r="AV7" i="69" s="1"/>
  <c r="AG104" i="69"/>
  <c r="AI104" i="69" s="1"/>
  <c r="AV6" i="69" s="1"/>
  <c r="AG103" i="69"/>
  <c r="AI103" i="69" s="1"/>
  <c r="AV5" i="69" s="1"/>
  <c r="BA13" i="69" s="1"/>
  <c r="AG102" i="69"/>
  <c r="AI102" i="69" s="1"/>
  <c r="AV4" i="69" s="1"/>
  <c r="AG99" i="69"/>
  <c r="AI99" i="69" s="1"/>
  <c r="AU12" i="69" s="1"/>
  <c r="AG98" i="69"/>
  <c r="AI98" i="69" s="1"/>
  <c r="AU11" i="69" s="1"/>
  <c r="AG97" i="69"/>
  <c r="AI97" i="69" s="1"/>
  <c r="AU10" i="69" s="1"/>
  <c r="AG96" i="69"/>
  <c r="AI96" i="69" s="1"/>
  <c r="AU9" i="69" s="1"/>
  <c r="AG95" i="69"/>
  <c r="AI95" i="69" s="1"/>
  <c r="AU8" i="69" s="1"/>
  <c r="AG94" i="69"/>
  <c r="AI94" i="69" s="1"/>
  <c r="AU7" i="69" s="1"/>
  <c r="AG93" i="69"/>
  <c r="AI93" i="69" s="1"/>
  <c r="AU6" i="69" s="1"/>
  <c r="AG92" i="69"/>
  <c r="AI92" i="69" s="1"/>
  <c r="AU5" i="69" s="1"/>
  <c r="AG91" i="69"/>
  <c r="AI91" i="69" s="1"/>
  <c r="AU4" i="69" s="1"/>
  <c r="AG88" i="69"/>
  <c r="AI88" i="69" s="1"/>
  <c r="AS12" i="69" s="1"/>
  <c r="AG87" i="69"/>
  <c r="AI87" i="69" s="1"/>
  <c r="AS11" i="69" s="1"/>
  <c r="AG86" i="69"/>
  <c r="AI86" i="69" s="1"/>
  <c r="AS10" i="69" s="1"/>
  <c r="AG85" i="69"/>
  <c r="AI85" i="69" s="1"/>
  <c r="AS9" i="69" s="1"/>
  <c r="AG84" i="69"/>
  <c r="AI84" i="69" s="1"/>
  <c r="AS8" i="69" s="1"/>
  <c r="AG83" i="69"/>
  <c r="AI83" i="69" s="1"/>
  <c r="AS7" i="69" s="1"/>
  <c r="AG82" i="69"/>
  <c r="AI82" i="69" s="1"/>
  <c r="AS6" i="69" s="1"/>
  <c r="AG81" i="69"/>
  <c r="AI81" i="69" s="1"/>
  <c r="AS5" i="69" s="1"/>
  <c r="BA11" i="69" s="1"/>
  <c r="AG80" i="69"/>
  <c r="AI80" i="69" s="1"/>
  <c r="AS4" i="69" s="1"/>
  <c r="AG77" i="69"/>
  <c r="AI77" i="69" s="1"/>
  <c r="AR12" i="69" s="1"/>
  <c r="AG76" i="69"/>
  <c r="AI76" i="69" s="1"/>
  <c r="AR11" i="69" s="1"/>
  <c r="AG75" i="69"/>
  <c r="AI75" i="69" s="1"/>
  <c r="AR10" i="69" s="1"/>
  <c r="AG74" i="69"/>
  <c r="AI74" i="69" s="1"/>
  <c r="AR9" i="69" s="1"/>
  <c r="AG73" i="69"/>
  <c r="AI73" i="69" s="1"/>
  <c r="AR8" i="69" s="1"/>
  <c r="AG72" i="69"/>
  <c r="AI72" i="69" s="1"/>
  <c r="AR7" i="69" s="1"/>
  <c r="AG71" i="69"/>
  <c r="AI71" i="69" s="1"/>
  <c r="AR6" i="69" s="1"/>
  <c r="AG70" i="69"/>
  <c r="AI70" i="69" s="1"/>
  <c r="AR5" i="69" s="1"/>
  <c r="AG69" i="69"/>
  <c r="AI69" i="69" s="1"/>
  <c r="AR4" i="69" s="1"/>
  <c r="AG66" i="69"/>
  <c r="AI66" i="69" s="1"/>
  <c r="AQ12" i="69" s="1"/>
  <c r="AG65" i="69"/>
  <c r="AI65" i="69" s="1"/>
  <c r="AQ11" i="69" s="1"/>
  <c r="AG64" i="69"/>
  <c r="AI64" i="69" s="1"/>
  <c r="AQ10" i="69" s="1"/>
  <c r="AG63" i="69"/>
  <c r="AI63" i="69" s="1"/>
  <c r="AQ9" i="69" s="1"/>
  <c r="AG62" i="69"/>
  <c r="AI62" i="69" s="1"/>
  <c r="AQ8" i="69" s="1"/>
  <c r="AG61" i="69"/>
  <c r="AI61" i="69" s="1"/>
  <c r="AQ7" i="69" s="1"/>
  <c r="AG60" i="69"/>
  <c r="AI60" i="69" s="1"/>
  <c r="AQ6" i="69" s="1"/>
  <c r="AG59" i="69"/>
  <c r="AI59" i="69" s="1"/>
  <c r="AQ5" i="69" s="1"/>
  <c r="BA9" i="69" s="1"/>
  <c r="AG58" i="69"/>
  <c r="AI58" i="69" s="1"/>
  <c r="AQ4" i="69" s="1"/>
  <c r="AG55" i="69"/>
  <c r="AI55" i="69" s="1"/>
  <c r="AP12" i="69" s="1"/>
  <c r="AG54" i="69"/>
  <c r="AI54" i="69" s="1"/>
  <c r="AP11" i="69" s="1"/>
  <c r="AG53" i="69"/>
  <c r="AI53" i="69" s="1"/>
  <c r="AP10" i="69" s="1"/>
  <c r="AG52" i="69"/>
  <c r="AI52" i="69" s="1"/>
  <c r="AP9" i="69" s="1"/>
  <c r="AG51" i="69"/>
  <c r="AI51" i="69" s="1"/>
  <c r="AP8" i="69" s="1"/>
  <c r="AP27" i="69" s="1"/>
  <c r="AG50" i="69"/>
  <c r="AI50" i="69" s="1"/>
  <c r="AP7" i="69" s="1"/>
  <c r="AG49" i="69"/>
  <c r="AI49" i="69" s="1"/>
  <c r="AP6" i="69" s="1"/>
  <c r="AG48" i="69"/>
  <c r="AI48" i="69" s="1"/>
  <c r="AP5" i="69" s="1"/>
  <c r="AG47" i="69"/>
  <c r="AI47" i="69" s="1"/>
  <c r="AP4" i="69" s="1"/>
  <c r="AG44" i="69"/>
  <c r="AI44" i="69" s="1"/>
  <c r="AO12" i="69" s="1"/>
  <c r="AG43" i="69"/>
  <c r="AI43" i="69" s="1"/>
  <c r="AO11" i="69" s="1"/>
  <c r="AG42" i="69"/>
  <c r="AI42" i="69" s="1"/>
  <c r="AO10" i="69" s="1"/>
  <c r="AG41" i="69"/>
  <c r="AI41" i="69" s="1"/>
  <c r="AO9" i="69" s="1"/>
  <c r="AG40" i="69"/>
  <c r="AI40" i="69" s="1"/>
  <c r="AO8" i="69" s="1"/>
  <c r="AG39" i="69"/>
  <c r="AI39" i="69" s="1"/>
  <c r="AO7" i="69" s="1"/>
  <c r="AG38" i="69"/>
  <c r="AI38" i="69" s="1"/>
  <c r="AO6" i="69" s="1"/>
  <c r="AG37" i="69"/>
  <c r="AI37" i="69" s="1"/>
  <c r="AO5" i="69" s="1"/>
  <c r="AG36" i="69"/>
  <c r="AI36" i="69" s="1"/>
  <c r="AO4" i="69" s="1"/>
  <c r="AG33" i="69"/>
  <c r="AI33" i="69" s="1"/>
  <c r="AN12" i="69" s="1"/>
  <c r="AG32" i="69"/>
  <c r="AI32" i="69" s="1"/>
  <c r="AN11" i="69" s="1"/>
  <c r="AG31" i="69"/>
  <c r="AI31" i="69" s="1"/>
  <c r="AN10" i="69" s="1"/>
  <c r="AG30" i="69"/>
  <c r="AI30" i="69" s="1"/>
  <c r="AN9" i="69" s="1"/>
  <c r="AG29" i="69"/>
  <c r="AI29" i="69" s="1"/>
  <c r="AN8" i="69" s="1"/>
  <c r="AG28" i="69"/>
  <c r="AI28" i="69" s="1"/>
  <c r="AN7" i="69" s="1"/>
  <c r="AG27" i="69"/>
  <c r="AI27" i="69" s="1"/>
  <c r="AN6" i="69" s="1"/>
  <c r="AG26" i="69"/>
  <c r="AI26" i="69" s="1"/>
  <c r="AN5" i="69" s="1"/>
  <c r="BA6" i="69" s="1"/>
  <c r="BA25" i="69"/>
  <c r="BC25" i="69" s="1"/>
  <c r="AG25" i="69"/>
  <c r="AI25" i="69" s="1"/>
  <c r="AN4" i="69" s="1"/>
  <c r="BA24" i="69"/>
  <c r="BC24" i="69" s="1"/>
  <c r="BA23" i="69"/>
  <c r="BC23" i="69" s="1"/>
  <c r="BA22" i="69"/>
  <c r="BC22" i="69" s="1"/>
  <c r="AG22" i="69"/>
  <c r="AI22" i="69" s="1"/>
  <c r="AM12" i="69" s="1"/>
  <c r="BA21" i="69"/>
  <c r="BC21" i="69" s="1"/>
  <c r="AG21" i="69"/>
  <c r="AI21" i="69" s="1"/>
  <c r="AM11" i="69" s="1"/>
  <c r="BA20" i="69"/>
  <c r="BC20" i="69" s="1"/>
  <c r="AG20" i="69"/>
  <c r="AI20" i="69" s="1"/>
  <c r="AM10" i="69" s="1"/>
  <c r="BA19" i="69"/>
  <c r="BC19" i="69" s="1"/>
  <c r="AG19" i="69"/>
  <c r="AI19" i="69" s="1"/>
  <c r="AM9" i="69" s="1"/>
  <c r="BA18" i="69"/>
  <c r="BC18" i="69" s="1"/>
  <c r="AG18" i="69"/>
  <c r="AI18" i="69" s="1"/>
  <c r="AM8" i="69" s="1"/>
  <c r="BA17" i="69"/>
  <c r="BC17" i="69" s="1"/>
  <c r="AG17" i="69"/>
  <c r="AI17" i="69" s="1"/>
  <c r="AM7" i="69" s="1"/>
  <c r="BA16" i="69"/>
  <c r="BC16" i="69" s="1"/>
  <c r="AG16" i="69"/>
  <c r="AI16" i="69" s="1"/>
  <c r="AM6" i="69" s="1"/>
  <c r="AG15" i="69"/>
  <c r="AI15" i="69" s="1"/>
  <c r="AM5" i="69" s="1"/>
  <c r="AG14" i="69"/>
  <c r="AI14" i="69" s="1"/>
  <c r="AM4" i="69" s="1"/>
  <c r="AG11" i="69"/>
  <c r="AI11" i="69" s="1"/>
  <c r="AL12" i="69" s="1"/>
  <c r="AG10" i="69"/>
  <c r="AI10" i="69" s="1"/>
  <c r="AL11" i="69" s="1"/>
  <c r="AG9" i="69"/>
  <c r="AI9" i="69" s="1"/>
  <c r="AL10" i="69" s="1"/>
  <c r="AG8" i="69"/>
  <c r="AI8" i="69" s="1"/>
  <c r="AL9" i="69" s="1"/>
  <c r="AG7" i="69"/>
  <c r="AI7" i="69" s="1"/>
  <c r="AL8" i="69" s="1"/>
  <c r="AG6" i="69"/>
  <c r="AI6" i="69" s="1"/>
  <c r="AL7" i="69" s="1"/>
  <c r="AG5" i="69"/>
  <c r="AI5" i="69" s="1"/>
  <c r="AL6" i="69" s="1"/>
  <c r="AG4" i="69"/>
  <c r="AI4" i="69" s="1"/>
  <c r="AL5" i="69" s="1"/>
  <c r="AG3" i="69"/>
  <c r="AI3" i="69" s="1"/>
  <c r="AL4" i="69" s="1"/>
  <c r="D11" i="75" l="1"/>
  <c r="AS21" i="72"/>
  <c r="AR23" i="72"/>
  <c r="AR24" i="72"/>
  <c r="AR21" i="72"/>
  <c r="AQ24" i="72"/>
  <c r="AN27" i="72"/>
  <c r="AM24" i="72"/>
  <c r="AT20" i="72"/>
  <c r="AV13" i="72"/>
  <c r="AV28" i="72" s="1"/>
  <c r="AV26" i="72"/>
  <c r="AV25" i="72"/>
  <c r="AU23" i="72"/>
  <c r="AU24" i="72"/>
  <c r="AS13" i="72"/>
  <c r="AS28" i="72" s="1"/>
  <c r="AS26" i="72"/>
  <c r="AS25" i="72"/>
  <c r="AR25" i="72"/>
  <c r="AR20" i="72"/>
  <c r="AQ27" i="72"/>
  <c r="AQ26" i="72"/>
  <c r="AQ25" i="72"/>
  <c r="AP23" i="72"/>
  <c r="BB7" i="72"/>
  <c r="AO27" i="72"/>
  <c r="AO26" i="72"/>
  <c r="AO25" i="72"/>
  <c r="AM27" i="72"/>
  <c r="AM25" i="72"/>
  <c r="AL27" i="72"/>
  <c r="AW4" i="72"/>
  <c r="AP13" i="72"/>
  <c r="AP28" i="72" s="1"/>
  <c r="BB8" i="72"/>
  <c r="AP22" i="72"/>
  <c r="AP26" i="72"/>
  <c r="BA4" i="72"/>
  <c r="AW5" i="72"/>
  <c r="AL20" i="72"/>
  <c r="AL23" i="72"/>
  <c r="BA13" i="72"/>
  <c r="AV22" i="72"/>
  <c r="AV20" i="72"/>
  <c r="AV24" i="72"/>
  <c r="AT21" i="72"/>
  <c r="AT25" i="72"/>
  <c r="AO22" i="72"/>
  <c r="BB6" i="72"/>
  <c r="AN22" i="72"/>
  <c r="AN13" i="72"/>
  <c r="AN28" i="72" s="1"/>
  <c r="AN26" i="72"/>
  <c r="AT22" i="72"/>
  <c r="AT13" i="72"/>
  <c r="AT28" i="72" s="1"/>
  <c r="AM26" i="72"/>
  <c r="AN23" i="72"/>
  <c r="AW8" i="72"/>
  <c r="AT27" i="72"/>
  <c r="AT23" i="72"/>
  <c r="AR13" i="72"/>
  <c r="AR28" i="72" s="1"/>
  <c r="AR22" i="72"/>
  <c r="BB10" i="72"/>
  <c r="BC10" i="72" s="1"/>
  <c r="BA7" i="72"/>
  <c r="AO20" i="72"/>
  <c r="AO23" i="72"/>
  <c r="AM20" i="72"/>
  <c r="AM23" i="72"/>
  <c r="BA5" i="72"/>
  <c r="AU21" i="72"/>
  <c r="AU25" i="72"/>
  <c r="AP27" i="72"/>
  <c r="BB12" i="72"/>
  <c r="AU13" i="72"/>
  <c r="AU28" i="72" s="1"/>
  <c r="AU22" i="72"/>
  <c r="AW10" i="72"/>
  <c r="AS20" i="72"/>
  <c r="BA11" i="72"/>
  <c r="AS22" i="72"/>
  <c r="AM21" i="72"/>
  <c r="BB4" i="72"/>
  <c r="AL24" i="72"/>
  <c r="AW9" i="72"/>
  <c r="AL13" i="72"/>
  <c r="AL28" i="72" s="1"/>
  <c r="AM22" i="72"/>
  <c r="BB5" i="72"/>
  <c r="AM13" i="72"/>
  <c r="AM28" i="72" s="1"/>
  <c r="AQ20" i="72"/>
  <c r="AQ22" i="72"/>
  <c r="BA9" i="72"/>
  <c r="AN21" i="72"/>
  <c r="AW12" i="72"/>
  <c r="AS23" i="72"/>
  <c r="AV21" i="72"/>
  <c r="AO24" i="72"/>
  <c r="AT26" i="72"/>
  <c r="AQ23" i="72"/>
  <c r="AU27" i="72"/>
  <c r="BB9" i="72"/>
  <c r="AL26" i="72"/>
  <c r="AW11" i="72"/>
  <c r="AO21" i="72"/>
  <c r="AV27" i="72"/>
  <c r="AS24" i="72"/>
  <c r="AR26" i="72"/>
  <c r="BA8" i="72"/>
  <c r="AP20" i="72"/>
  <c r="AP25" i="72"/>
  <c r="AP21" i="72"/>
  <c r="BB11" i="72"/>
  <c r="AU26" i="72"/>
  <c r="AV23" i="72"/>
  <c r="AW6" i="72"/>
  <c r="AL21" i="72"/>
  <c r="AL25" i="72"/>
  <c r="AN20" i="72"/>
  <c r="BA6" i="72"/>
  <c r="AP24" i="72"/>
  <c r="AR27" i="72"/>
  <c r="AN24" i="72"/>
  <c r="AQ21" i="72"/>
  <c r="AS27" i="72"/>
  <c r="AT24" i="72"/>
  <c r="AO13" i="72"/>
  <c r="AO28" i="72" s="1"/>
  <c r="AL22" i="72"/>
  <c r="AW7" i="72"/>
  <c r="BB13" i="72"/>
  <c r="AU20" i="72"/>
  <c r="BA12" i="72"/>
  <c r="AQ13" i="72"/>
  <c r="AQ28" i="72" s="1"/>
  <c r="AT27" i="71"/>
  <c r="AT26" i="71"/>
  <c r="AU21" i="71"/>
  <c r="AU24" i="71"/>
  <c r="AU25" i="71"/>
  <c r="AV20" i="71"/>
  <c r="AU26" i="71"/>
  <c r="AV24" i="71"/>
  <c r="AV27" i="71"/>
  <c r="AU27" i="71"/>
  <c r="AV23" i="71"/>
  <c r="AS25" i="71"/>
  <c r="AS27" i="71"/>
  <c r="AR22" i="71"/>
  <c r="AR27" i="71"/>
  <c r="BA9" i="71"/>
  <c r="AQ20" i="71"/>
  <c r="AQ24" i="71"/>
  <c r="AQ21" i="71"/>
  <c r="AQ25" i="71"/>
  <c r="AP27" i="71"/>
  <c r="AP25" i="71"/>
  <c r="BA7" i="71"/>
  <c r="AO24" i="71"/>
  <c r="AO23" i="71"/>
  <c r="AN25" i="71"/>
  <c r="AW4" i="71"/>
  <c r="AQ26" i="71"/>
  <c r="AQ22" i="71"/>
  <c r="BB9" i="71"/>
  <c r="BC9" i="71" s="1"/>
  <c r="AQ13" i="71"/>
  <c r="AQ28" i="71" s="1"/>
  <c r="AL23" i="71"/>
  <c r="AW8" i="71"/>
  <c r="AW10" i="71"/>
  <c r="AL25" i="71"/>
  <c r="AV13" i="71"/>
  <c r="AV28" i="71" s="1"/>
  <c r="BB13" i="71"/>
  <c r="BC13" i="71" s="1"/>
  <c r="AV22" i="71"/>
  <c r="AV25" i="71"/>
  <c r="AV21" i="71"/>
  <c r="AT20" i="71"/>
  <c r="AT23" i="71"/>
  <c r="AT22" i="71"/>
  <c r="BB7" i="71"/>
  <c r="BC7" i="71" s="1"/>
  <c r="AO22" i="71"/>
  <c r="AP23" i="71"/>
  <c r="AT21" i="71"/>
  <c r="AM27" i="71"/>
  <c r="AL20" i="71"/>
  <c r="AW5" i="71"/>
  <c r="BA4" i="71"/>
  <c r="AN20" i="71"/>
  <c r="BA10" i="71"/>
  <c r="AR23" i="71"/>
  <c r="AO13" i="71"/>
  <c r="AO28" i="71" s="1"/>
  <c r="AS20" i="71"/>
  <c r="BA11" i="71"/>
  <c r="AR21" i="71"/>
  <c r="AL27" i="71"/>
  <c r="AW12" i="71"/>
  <c r="AP20" i="71"/>
  <c r="AN27" i="71"/>
  <c r="AW9" i="71"/>
  <c r="AQ27" i="71"/>
  <c r="AQ23" i="71"/>
  <c r="AL13" i="71"/>
  <c r="AL28" i="71" s="1"/>
  <c r="AL22" i="71"/>
  <c r="AW7" i="71"/>
  <c r="BB4" i="71"/>
  <c r="BC4" i="71" s="1"/>
  <c r="AR24" i="71"/>
  <c r="BB10" i="71"/>
  <c r="BC10" i="71" s="1"/>
  <c r="AR13" i="71"/>
  <c r="AR28" i="71" s="1"/>
  <c r="AM20" i="71"/>
  <c r="BA5" i="71"/>
  <c r="AN24" i="71"/>
  <c r="AW6" i="71"/>
  <c r="AS24" i="71"/>
  <c r="AR20" i="71"/>
  <c r="AM21" i="71"/>
  <c r="AP24" i="71"/>
  <c r="AN13" i="71"/>
  <c r="AN28" i="71" s="1"/>
  <c r="AN22" i="71"/>
  <c r="BB11" i="71"/>
  <c r="BC11" i="71" s="1"/>
  <c r="AS26" i="71"/>
  <c r="AS13" i="71"/>
  <c r="AS28" i="71" s="1"/>
  <c r="AS22" i="71"/>
  <c r="AN21" i="71"/>
  <c r="AL26" i="71"/>
  <c r="AW11" i="71"/>
  <c r="AM22" i="71"/>
  <c r="AM13" i="71"/>
  <c r="AM28" i="71" s="1"/>
  <c r="BB5" i="71"/>
  <c r="AS23" i="71"/>
  <c r="AP22" i="71"/>
  <c r="AT24" i="71"/>
  <c r="AV26" i="71"/>
  <c r="AO27" i="71"/>
  <c r="AP26" i="71"/>
  <c r="AS21" i="71"/>
  <c r="AM24" i="71"/>
  <c r="AL21" i="71"/>
  <c r="AU20" i="71"/>
  <c r="BA12" i="71"/>
  <c r="AU23" i="71"/>
  <c r="AT13" i="71"/>
  <c r="AT28" i="71" s="1"/>
  <c r="AP21" i="71"/>
  <c r="BB12" i="71"/>
  <c r="BC12" i="71" s="1"/>
  <c r="AU13" i="71"/>
  <c r="AU28" i="71" s="1"/>
  <c r="AT25" i="71"/>
  <c r="BB8" i="71"/>
  <c r="BC8" i="71" s="1"/>
  <c r="AL24" i="71"/>
  <c r="AO25" i="71"/>
  <c r="AO26" i="71"/>
  <c r="AO20" i="71"/>
  <c r="AN26" i="71"/>
  <c r="BA13" i="71"/>
  <c r="AS20" i="69"/>
  <c r="AT25" i="69"/>
  <c r="AT13" i="69"/>
  <c r="AT28" i="69" s="1"/>
  <c r="AT26" i="69"/>
  <c r="AT22" i="69"/>
  <c r="AT23" i="69"/>
  <c r="AT24" i="69"/>
  <c r="AT21" i="69"/>
  <c r="AT20" i="69"/>
  <c r="AU25" i="69"/>
  <c r="AS26" i="69"/>
  <c r="AV21" i="69"/>
  <c r="AV22" i="69"/>
  <c r="AV23" i="69"/>
  <c r="AS21" i="69"/>
  <c r="AS22" i="69"/>
  <c r="AS23" i="69"/>
  <c r="AR21" i="69"/>
  <c r="AQ23" i="69"/>
  <c r="AO23" i="69"/>
  <c r="AO24" i="69"/>
  <c r="AN23" i="69"/>
  <c r="AN24" i="69"/>
  <c r="AW4" i="69"/>
  <c r="AV25" i="69"/>
  <c r="AV26" i="69"/>
  <c r="AU13" i="69"/>
  <c r="AU28" i="69" s="1"/>
  <c r="AU26" i="69"/>
  <c r="AS25" i="69"/>
  <c r="AS27" i="69"/>
  <c r="BB10" i="69"/>
  <c r="AR27" i="69"/>
  <c r="AR26" i="69"/>
  <c r="AQ21" i="69"/>
  <c r="AQ25" i="69"/>
  <c r="AQ22" i="69"/>
  <c r="AQ26" i="69"/>
  <c r="AP22" i="69"/>
  <c r="AP13" i="69"/>
  <c r="AP28" i="69" s="1"/>
  <c r="BB8" i="69"/>
  <c r="AP26" i="69"/>
  <c r="AO25" i="69"/>
  <c r="AO26" i="69"/>
  <c r="AN27" i="69"/>
  <c r="AN26" i="69"/>
  <c r="AW6" i="69"/>
  <c r="AM25" i="69"/>
  <c r="AW11" i="69"/>
  <c r="AL26" i="69"/>
  <c r="AM20" i="69"/>
  <c r="BA5" i="69"/>
  <c r="AM21" i="69"/>
  <c r="AM23" i="69"/>
  <c r="AS24" i="69"/>
  <c r="AS13" i="69"/>
  <c r="AS28" i="69" s="1"/>
  <c r="BB11" i="69"/>
  <c r="BC11" i="69" s="1"/>
  <c r="AL24" i="69"/>
  <c r="AL27" i="69"/>
  <c r="AW12" i="69"/>
  <c r="AM24" i="69"/>
  <c r="AR20" i="69"/>
  <c r="BA10" i="69"/>
  <c r="AR24" i="69"/>
  <c r="AR23" i="69"/>
  <c r="AW8" i="69"/>
  <c r="AL23" i="69"/>
  <c r="AQ24" i="69"/>
  <c r="AQ13" i="69"/>
  <c r="AQ28" i="69" s="1"/>
  <c r="AW5" i="69"/>
  <c r="BA4" i="69"/>
  <c r="AL20" i="69"/>
  <c r="AP20" i="69"/>
  <c r="AP23" i="69"/>
  <c r="BA8" i="69"/>
  <c r="AP21" i="69"/>
  <c r="AW10" i="69"/>
  <c r="AL25" i="69"/>
  <c r="AM27" i="69"/>
  <c r="AM13" i="69"/>
  <c r="AM28" i="69" s="1"/>
  <c r="BB5" i="69"/>
  <c r="AM22" i="69"/>
  <c r="AU20" i="69"/>
  <c r="BA12" i="69"/>
  <c r="AL22" i="69"/>
  <c r="AW7" i="69"/>
  <c r="AL13" i="69"/>
  <c r="AL28" i="69" s="1"/>
  <c r="BB4" i="69"/>
  <c r="AU23" i="69"/>
  <c r="AV24" i="69"/>
  <c r="BB13" i="69"/>
  <c r="BC13" i="69" s="1"/>
  <c r="AQ27" i="69"/>
  <c r="BB7" i="69"/>
  <c r="BB12" i="69"/>
  <c r="AW9" i="69"/>
  <c r="AU24" i="69"/>
  <c r="AU22" i="69"/>
  <c r="AU27" i="69"/>
  <c r="AL21" i="69"/>
  <c r="AO13" i="69"/>
  <c r="AO28" i="69" s="1"/>
  <c r="AM26" i="69"/>
  <c r="AO27" i="69"/>
  <c r="AO21" i="69"/>
  <c r="AP24" i="69"/>
  <c r="AV13" i="69"/>
  <c r="AV28" i="69" s="1"/>
  <c r="AV20" i="69"/>
  <c r="AU21" i="69"/>
  <c r="AN13" i="69"/>
  <c r="AN28" i="69" s="1"/>
  <c r="BB6" i="69"/>
  <c r="BC6" i="69" s="1"/>
  <c r="AN20" i="69"/>
  <c r="BB9" i="69"/>
  <c r="BC9" i="69" s="1"/>
  <c r="AP25" i="69"/>
  <c r="AN22" i="69"/>
  <c r="AO20" i="69"/>
  <c r="BA7" i="69"/>
  <c r="AR13" i="69"/>
  <c r="AR28" i="69" s="1"/>
  <c r="AR22" i="69"/>
  <c r="AO22" i="69"/>
  <c r="AN21" i="69"/>
  <c r="AN25" i="69"/>
  <c r="AQ20" i="69"/>
  <c r="AR25" i="69"/>
  <c r="AV27" i="69"/>
  <c r="BC13" i="72" l="1"/>
  <c r="BC12" i="72"/>
  <c r="BC8" i="72"/>
  <c r="BC7" i="72"/>
  <c r="BC6" i="72"/>
  <c r="AW21" i="72"/>
  <c r="AW27" i="72"/>
  <c r="AW20" i="72"/>
  <c r="BC5" i="72"/>
  <c r="BC9" i="72"/>
  <c r="AW24" i="72"/>
  <c r="AW22" i="72"/>
  <c r="AW13" i="72"/>
  <c r="AW28" i="72" s="1"/>
  <c r="AW26" i="72"/>
  <c r="AW25" i="72"/>
  <c r="BC11" i="72"/>
  <c r="BC4" i="72"/>
  <c r="AW23" i="72"/>
  <c r="AW27" i="71"/>
  <c r="AW25" i="71"/>
  <c r="AW20" i="71"/>
  <c r="BC5" i="71"/>
  <c r="AW26" i="71"/>
  <c r="AW21" i="71"/>
  <c r="AW23" i="71"/>
  <c r="AW13" i="71"/>
  <c r="AW28" i="71" s="1"/>
  <c r="AW22" i="71"/>
  <c r="AW24" i="71"/>
  <c r="BC12" i="69"/>
  <c r="BC10" i="69"/>
  <c r="BC7" i="69"/>
  <c r="AW20" i="69"/>
  <c r="BC5" i="69"/>
  <c r="BC4" i="69"/>
  <c r="AW25" i="69"/>
  <c r="BC8" i="69"/>
  <c r="AW23" i="69"/>
  <c r="AW13" i="69"/>
  <c r="AW28" i="69" s="1"/>
  <c r="AW22" i="69"/>
  <c r="AW27" i="69"/>
  <c r="AW26" i="69"/>
  <c r="AW24" i="69"/>
  <c r="AW21" i="69"/>
  <c r="H77" i="66" l="1"/>
  <c r="H76" i="66"/>
  <c r="H39" i="66"/>
  <c r="M15" i="66" l="1"/>
  <c r="N14" i="66"/>
  <c r="O14" i="66" s="1"/>
  <c r="N13" i="66"/>
  <c r="N15" i="66" s="1"/>
  <c r="K50" i="66"/>
  <c r="J50" i="66"/>
  <c r="O13" i="66" l="1"/>
  <c r="AG110" i="68" l="1"/>
  <c r="AI110" i="68" s="1"/>
  <c r="AU12" i="68" s="1"/>
  <c r="AG109" i="68"/>
  <c r="AI109" i="68" s="1"/>
  <c r="AU11" i="68" s="1"/>
  <c r="AG108" i="68"/>
  <c r="AI108" i="68" s="1"/>
  <c r="AU10" i="68" s="1"/>
  <c r="AG107" i="68"/>
  <c r="AI107" i="68" s="1"/>
  <c r="AU9" i="68" s="1"/>
  <c r="AG106" i="68"/>
  <c r="AI106" i="68" s="1"/>
  <c r="AU8" i="68" s="1"/>
  <c r="AG105" i="68"/>
  <c r="AI105" i="68" s="1"/>
  <c r="AU7" i="68" s="1"/>
  <c r="AG104" i="68"/>
  <c r="AI104" i="68" s="1"/>
  <c r="AU6" i="68" s="1"/>
  <c r="AG103" i="68"/>
  <c r="AI103" i="68" s="1"/>
  <c r="AU5" i="68" s="1"/>
  <c r="AG102" i="68"/>
  <c r="AI102" i="68" s="1"/>
  <c r="AU4" i="68" s="1"/>
  <c r="AG99" i="68"/>
  <c r="AI99" i="68" s="1"/>
  <c r="AT12" i="68" s="1"/>
  <c r="AG98" i="68"/>
  <c r="AI98" i="68" s="1"/>
  <c r="AT11" i="68" s="1"/>
  <c r="AG97" i="68"/>
  <c r="AI97" i="68" s="1"/>
  <c r="AT10" i="68" s="1"/>
  <c r="AG96" i="68"/>
  <c r="AI96" i="68" s="1"/>
  <c r="AT9" i="68" s="1"/>
  <c r="AG95" i="68"/>
  <c r="AI95" i="68" s="1"/>
  <c r="AT8" i="68" s="1"/>
  <c r="AG94" i="68"/>
  <c r="AI94" i="68" s="1"/>
  <c r="AT7" i="68" s="1"/>
  <c r="AG93" i="68"/>
  <c r="AI93" i="68" s="1"/>
  <c r="AT6" i="68" s="1"/>
  <c r="AG92" i="68"/>
  <c r="AI92" i="68" s="1"/>
  <c r="AT5" i="68" s="1"/>
  <c r="AG91" i="68"/>
  <c r="AI91" i="68" s="1"/>
  <c r="AT4" i="68" s="1"/>
  <c r="AI88" i="68"/>
  <c r="AG88" i="68"/>
  <c r="AG87" i="68"/>
  <c r="AI87" i="68" s="1"/>
  <c r="AS11" i="68" s="1"/>
  <c r="AG86" i="68"/>
  <c r="AI86" i="68" s="1"/>
  <c r="AS10" i="68" s="1"/>
  <c r="AG85" i="68"/>
  <c r="AI85" i="68" s="1"/>
  <c r="AS9" i="68" s="1"/>
  <c r="AG84" i="68"/>
  <c r="AI84" i="68" s="1"/>
  <c r="AS8" i="68" s="1"/>
  <c r="AG83" i="68"/>
  <c r="AI83" i="68" s="1"/>
  <c r="AS7" i="68" s="1"/>
  <c r="AG82" i="68"/>
  <c r="AI82" i="68" s="1"/>
  <c r="AS6" i="68" s="1"/>
  <c r="AG81" i="68"/>
  <c r="AI81" i="68" s="1"/>
  <c r="AS5" i="68" s="1"/>
  <c r="AZ11" i="68" s="1"/>
  <c r="AG80" i="68"/>
  <c r="AI80" i="68" s="1"/>
  <c r="AS4" i="68" s="1"/>
  <c r="AG77" i="68"/>
  <c r="AI77" i="68" s="1"/>
  <c r="AR12" i="68" s="1"/>
  <c r="AG76" i="68"/>
  <c r="AI76" i="68" s="1"/>
  <c r="AR11" i="68" s="1"/>
  <c r="AG75" i="68"/>
  <c r="AI75" i="68" s="1"/>
  <c r="AR10" i="68" s="1"/>
  <c r="AG74" i="68"/>
  <c r="AI74" i="68" s="1"/>
  <c r="AR9" i="68" s="1"/>
  <c r="AG73" i="68"/>
  <c r="AI73" i="68" s="1"/>
  <c r="AR8" i="68" s="1"/>
  <c r="AG72" i="68"/>
  <c r="AI72" i="68" s="1"/>
  <c r="AR7" i="68" s="1"/>
  <c r="AG71" i="68"/>
  <c r="AI71" i="68" s="1"/>
  <c r="AR6" i="68" s="1"/>
  <c r="AG70" i="68"/>
  <c r="AI70" i="68" s="1"/>
  <c r="AR5" i="68" s="1"/>
  <c r="AG69" i="68"/>
  <c r="AI69" i="68" s="1"/>
  <c r="AR4" i="68" s="1"/>
  <c r="AI66" i="68"/>
  <c r="AG66" i="68"/>
  <c r="AG65" i="68"/>
  <c r="AI65" i="68" s="1"/>
  <c r="AG64" i="68"/>
  <c r="AI64" i="68" s="1"/>
  <c r="AG63" i="68"/>
  <c r="AI63" i="68" s="1"/>
  <c r="AQ9" i="68" s="1"/>
  <c r="AG62" i="68"/>
  <c r="AI62" i="68" s="1"/>
  <c r="AQ8" i="68" s="1"/>
  <c r="AG61" i="68"/>
  <c r="AI61" i="68" s="1"/>
  <c r="AQ7" i="68" s="1"/>
  <c r="AG60" i="68"/>
  <c r="AI60" i="68" s="1"/>
  <c r="AQ6" i="68" s="1"/>
  <c r="AG59" i="68"/>
  <c r="AI59" i="68" s="1"/>
  <c r="AQ5" i="68" s="1"/>
  <c r="AG58" i="68"/>
  <c r="AI58" i="68" s="1"/>
  <c r="AQ4" i="68" s="1"/>
  <c r="AG55" i="68"/>
  <c r="AI55" i="68" s="1"/>
  <c r="AP12" i="68" s="1"/>
  <c r="AG54" i="68"/>
  <c r="AI54" i="68" s="1"/>
  <c r="AP11" i="68" s="1"/>
  <c r="AG53" i="68"/>
  <c r="AI53" i="68" s="1"/>
  <c r="AP10" i="68" s="1"/>
  <c r="AG52" i="68"/>
  <c r="AI52" i="68" s="1"/>
  <c r="AP9" i="68" s="1"/>
  <c r="AG51" i="68"/>
  <c r="AI51" i="68" s="1"/>
  <c r="AP8" i="68" s="1"/>
  <c r="AG50" i="68"/>
  <c r="AI50" i="68" s="1"/>
  <c r="AP7" i="68" s="1"/>
  <c r="AG49" i="68"/>
  <c r="AI49" i="68" s="1"/>
  <c r="AP6" i="68" s="1"/>
  <c r="AG48" i="68"/>
  <c r="AI48" i="68" s="1"/>
  <c r="AP5" i="68" s="1"/>
  <c r="AG47" i="68"/>
  <c r="AI47" i="68" s="1"/>
  <c r="AP4" i="68" s="1"/>
  <c r="AI44" i="68"/>
  <c r="AG44" i="68"/>
  <c r="AG43" i="68"/>
  <c r="AI43" i="68" s="1"/>
  <c r="AG42" i="68"/>
  <c r="AI42" i="68" s="1"/>
  <c r="AG41" i="68"/>
  <c r="AI41" i="68" s="1"/>
  <c r="AO9" i="68" s="1"/>
  <c r="AG40" i="68"/>
  <c r="AI40" i="68" s="1"/>
  <c r="AO8" i="68" s="1"/>
  <c r="AG39" i="68"/>
  <c r="AI39" i="68" s="1"/>
  <c r="AO7" i="68" s="1"/>
  <c r="AG38" i="68"/>
  <c r="AI38" i="68" s="1"/>
  <c r="AO6" i="68" s="1"/>
  <c r="AG37" i="68"/>
  <c r="AI37" i="68" s="1"/>
  <c r="AO5" i="68" s="1"/>
  <c r="AG36" i="68"/>
  <c r="AI36" i="68" s="1"/>
  <c r="AO4" i="68" s="1"/>
  <c r="AG33" i="68"/>
  <c r="AI33" i="68" s="1"/>
  <c r="AN12" i="68" s="1"/>
  <c r="AG32" i="68"/>
  <c r="AI32" i="68" s="1"/>
  <c r="AN11" i="68" s="1"/>
  <c r="AG31" i="68"/>
  <c r="AI31" i="68" s="1"/>
  <c r="AN10" i="68" s="1"/>
  <c r="AG30" i="68"/>
  <c r="AI30" i="68" s="1"/>
  <c r="AN9" i="68" s="1"/>
  <c r="AG29" i="68"/>
  <c r="AI29" i="68" s="1"/>
  <c r="AN8" i="68" s="1"/>
  <c r="AG28" i="68"/>
  <c r="AI28" i="68" s="1"/>
  <c r="AN7" i="68" s="1"/>
  <c r="AG27" i="68"/>
  <c r="AI27" i="68" s="1"/>
  <c r="AN6" i="68" s="1"/>
  <c r="AG26" i="68"/>
  <c r="AI26" i="68" s="1"/>
  <c r="AN5" i="68" s="1"/>
  <c r="AZ25" i="68"/>
  <c r="BB25" i="68" s="1"/>
  <c r="AG25" i="68"/>
  <c r="AI25" i="68" s="1"/>
  <c r="AN4" i="68" s="1"/>
  <c r="AZ24" i="68"/>
  <c r="BB24" i="68" s="1"/>
  <c r="BB23" i="68"/>
  <c r="AZ23" i="68"/>
  <c r="AZ22" i="68"/>
  <c r="BB22" i="68" s="1"/>
  <c r="AI22" i="68"/>
  <c r="AG22" i="68"/>
  <c r="AZ21" i="68"/>
  <c r="BB21" i="68" s="1"/>
  <c r="AG21" i="68"/>
  <c r="AI21" i="68" s="1"/>
  <c r="AZ20" i="68"/>
  <c r="BB20" i="68" s="1"/>
  <c r="AG20" i="68"/>
  <c r="AI20" i="68" s="1"/>
  <c r="AM10" i="68" s="1"/>
  <c r="AZ19" i="68"/>
  <c r="BB19" i="68" s="1"/>
  <c r="AG19" i="68"/>
  <c r="AI19" i="68" s="1"/>
  <c r="AM9" i="68" s="1"/>
  <c r="BB18" i="68"/>
  <c r="AZ18" i="68"/>
  <c r="AG18" i="68"/>
  <c r="AI18" i="68" s="1"/>
  <c r="AM8" i="68" s="1"/>
  <c r="AZ17" i="68"/>
  <c r="BB17" i="68" s="1"/>
  <c r="AG17" i="68"/>
  <c r="AI17" i="68" s="1"/>
  <c r="AM7" i="68" s="1"/>
  <c r="AZ16" i="68"/>
  <c r="BB16" i="68" s="1"/>
  <c r="AG16" i="68"/>
  <c r="AI16" i="68" s="1"/>
  <c r="AM6" i="68" s="1"/>
  <c r="AG15" i="68"/>
  <c r="AI15" i="68" s="1"/>
  <c r="AM5" i="68" s="1"/>
  <c r="AZ5" i="68" s="1"/>
  <c r="AG14" i="68"/>
  <c r="AI14" i="68" s="1"/>
  <c r="AM4" i="68" s="1"/>
  <c r="AS12" i="68"/>
  <c r="AQ12" i="68"/>
  <c r="AO12" i="68"/>
  <c r="AM12" i="68"/>
  <c r="AL12" i="68"/>
  <c r="AQ11" i="68"/>
  <c r="AO11" i="68"/>
  <c r="AM11" i="68"/>
  <c r="AL11" i="68"/>
  <c r="AI11" i="68"/>
  <c r="AG11" i="68"/>
  <c r="AQ10" i="68"/>
  <c r="AO10" i="68"/>
  <c r="AG10" i="68"/>
  <c r="AI10" i="68" s="1"/>
  <c r="AG9" i="68"/>
  <c r="AI9" i="68" s="1"/>
  <c r="AL10" i="68" s="1"/>
  <c r="AG8" i="68"/>
  <c r="AI8" i="68" s="1"/>
  <c r="AL9" i="68" s="1"/>
  <c r="AG7" i="68"/>
  <c r="AI7" i="68" s="1"/>
  <c r="AL8" i="68" s="1"/>
  <c r="AG6" i="68"/>
  <c r="AI6" i="68" s="1"/>
  <c r="AL7" i="68" s="1"/>
  <c r="AG5" i="68"/>
  <c r="AI5" i="68" s="1"/>
  <c r="AL6" i="68" s="1"/>
  <c r="AG4" i="68"/>
  <c r="AI4" i="68" s="1"/>
  <c r="AL5" i="68" s="1"/>
  <c r="AG3" i="68"/>
  <c r="AI3" i="68" s="1"/>
  <c r="AL4" i="68" s="1"/>
  <c r="J15" i="66"/>
  <c r="K15" i="66"/>
  <c r="L15" i="66"/>
  <c r="O15" i="66"/>
  <c r="AU21" i="68" l="1"/>
  <c r="AU24" i="68"/>
  <c r="AU23" i="68"/>
  <c r="AU27" i="68"/>
  <c r="AS25" i="68"/>
  <c r="AS21" i="68"/>
  <c r="AS20" i="68"/>
  <c r="AS24" i="68"/>
  <c r="AR21" i="68"/>
  <c r="AR27" i="68"/>
  <c r="AR26" i="68"/>
  <c r="AR25" i="68"/>
  <c r="AT21" i="68"/>
  <c r="AT27" i="68"/>
  <c r="AT26" i="68"/>
  <c r="AT25" i="68"/>
  <c r="BA9" i="68"/>
  <c r="AQ25" i="68"/>
  <c r="AQ24" i="68"/>
  <c r="AM25" i="68"/>
  <c r="AM21" i="68"/>
  <c r="AM24" i="68"/>
  <c r="AM23" i="68"/>
  <c r="AO25" i="68"/>
  <c r="AL23" i="68"/>
  <c r="AL21" i="68"/>
  <c r="AN26" i="68"/>
  <c r="AN13" i="68"/>
  <c r="AN28" i="68" s="1"/>
  <c r="AN25" i="68"/>
  <c r="AV10" i="68"/>
  <c r="AL25" i="68"/>
  <c r="AM22" i="68"/>
  <c r="AM13" i="68"/>
  <c r="AM28" i="68" s="1"/>
  <c r="BA5" i="68"/>
  <c r="BB5" i="68" s="1"/>
  <c r="AU22" i="68"/>
  <c r="AU26" i="68"/>
  <c r="BA13" i="68"/>
  <c r="AU13" i="68"/>
  <c r="AU28" i="68" s="1"/>
  <c r="AP20" i="68"/>
  <c r="AZ8" i="68"/>
  <c r="AP21" i="68"/>
  <c r="AP13" i="68"/>
  <c r="AP28" i="68" s="1"/>
  <c r="BA8" i="68"/>
  <c r="AP22" i="68"/>
  <c r="AP23" i="68"/>
  <c r="AV11" i="68"/>
  <c r="AL26" i="68"/>
  <c r="BA7" i="68"/>
  <c r="AO13" i="68"/>
  <c r="AO28" i="68" s="1"/>
  <c r="AO22" i="68"/>
  <c r="AO23" i="68"/>
  <c r="AO24" i="68"/>
  <c r="AV6" i="68"/>
  <c r="AP27" i="68"/>
  <c r="AR20" i="68"/>
  <c r="AR24" i="68"/>
  <c r="AZ10" i="68"/>
  <c r="AV4" i="68"/>
  <c r="AL22" i="68"/>
  <c r="BA4" i="68"/>
  <c r="AV7" i="68"/>
  <c r="AL13" i="68"/>
  <c r="AL28" i="68" s="1"/>
  <c r="AO20" i="68"/>
  <c r="AZ7" i="68"/>
  <c r="AQ13" i="68"/>
  <c r="AQ28" i="68" s="1"/>
  <c r="AQ22" i="68"/>
  <c r="AQ26" i="68"/>
  <c r="AN20" i="68"/>
  <c r="AN24" i="68"/>
  <c r="AN23" i="68"/>
  <c r="AZ6" i="68"/>
  <c r="AQ27" i="68"/>
  <c r="AQ23" i="68"/>
  <c r="AU20" i="68"/>
  <c r="AM26" i="68"/>
  <c r="AP25" i="68"/>
  <c r="AZ12" i="68"/>
  <c r="AT20" i="68"/>
  <c r="AP26" i="68"/>
  <c r="AL20" i="68"/>
  <c r="AT22" i="68"/>
  <c r="AT13" i="68"/>
  <c r="AT28" i="68" s="1"/>
  <c r="BA12" i="68"/>
  <c r="AP24" i="68"/>
  <c r="AS22" i="68"/>
  <c r="AS13" i="68"/>
  <c r="AS28" i="68" s="1"/>
  <c r="BA11" i="68"/>
  <c r="BB11" i="68" s="1"/>
  <c r="AS26" i="68"/>
  <c r="AU25" i="68"/>
  <c r="AQ20" i="68"/>
  <c r="AZ9" i="68"/>
  <c r="AQ21" i="68"/>
  <c r="AV9" i="68"/>
  <c r="AL24" i="68"/>
  <c r="AO27" i="68"/>
  <c r="AN27" i="68"/>
  <c r="AV12" i="68"/>
  <c r="AR13" i="68"/>
  <c r="AR28" i="68" s="1"/>
  <c r="BA10" i="68"/>
  <c r="AR22" i="68"/>
  <c r="AS23" i="68"/>
  <c r="AS27" i="68"/>
  <c r="AZ13" i="68"/>
  <c r="BA6" i="68"/>
  <c r="AT23" i="68"/>
  <c r="AN22" i="68"/>
  <c r="AM20" i="68"/>
  <c r="AO21" i="68"/>
  <c r="AT24" i="68"/>
  <c r="AL27" i="68"/>
  <c r="AR23" i="68"/>
  <c r="AV8" i="68"/>
  <c r="AO26" i="68"/>
  <c r="AV5" i="68"/>
  <c r="AZ4" i="68"/>
  <c r="AN21" i="68"/>
  <c r="AM27" i="68"/>
  <c r="BB13" i="68" l="1"/>
  <c r="BB10" i="68"/>
  <c r="BB4" i="68"/>
  <c r="BB12" i="68"/>
  <c r="BB9" i="68"/>
  <c r="AV24" i="68"/>
  <c r="AV23" i="68"/>
  <c r="AV21" i="68"/>
  <c r="BB7" i="68"/>
  <c r="AV26" i="68"/>
  <c r="BB6" i="68"/>
  <c r="BB8" i="68"/>
  <c r="AV20" i="68"/>
  <c r="AV27" i="68"/>
  <c r="AV22" i="68"/>
  <c r="AV13" i="68"/>
  <c r="AV28" i="68" s="1"/>
  <c r="AV25" i="68"/>
  <c r="H73" i="66" l="1"/>
  <c r="H74" i="66"/>
  <c r="H72" i="66"/>
  <c r="H75" i="66"/>
  <c r="H71" i="66"/>
  <c r="H70" i="66"/>
  <c r="H69" i="66"/>
  <c r="H68" i="66"/>
  <c r="H66" i="66"/>
  <c r="G62" i="66"/>
  <c r="L48" i="66" s="1"/>
  <c r="N48" i="66" s="1"/>
  <c r="H50" i="66"/>
  <c r="G46" i="66"/>
  <c r="L47" i="66" s="1"/>
  <c r="N47" i="66" s="1"/>
  <c r="H42" i="66"/>
  <c r="H41" i="66"/>
  <c r="H40" i="66"/>
  <c r="H38" i="66"/>
  <c r="H37" i="66"/>
  <c r="H36" i="66"/>
  <c r="G32" i="66"/>
  <c r="H31" i="66"/>
  <c r="H30" i="66"/>
  <c r="H29" i="66"/>
  <c r="H28" i="66"/>
  <c r="H27" i="66"/>
  <c r="H26" i="66"/>
  <c r="H25" i="66"/>
  <c r="H24" i="66"/>
  <c r="H23" i="66"/>
  <c r="G19" i="66"/>
  <c r="H18" i="66"/>
  <c r="H4" i="66"/>
  <c r="H5" i="66"/>
  <c r="H6" i="66"/>
  <c r="H7" i="66"/>
  <c r="H8" i="66"/>
  <c r="H9" i="66"/>
  <c r="H10" i="66"/>
  <c r="H11" i="66"/>
  <c r="H14" i="66"/>
  <c r="H15" i="66"/>
  <c r="H16" i="66"/>
  <c r="H17" i="66"/>
  <c r="H3" i="66"/>
  <c r="H81" i="66" l="1"/>
  <c r="N49" i="66"/>
  <c r="L50" i="66"/>
  <c r="M49" i="66"/>
  <c r="M56" i="66" s="1"/>
  <c r="H62" i="66"/>
  <c r="M48" i="66" s="1"/>
  <c r="H46" i="66"/>
  <c r="M47" i="66" s="1"/>
  <c r="M54" i="66" s="1"/>
  <c r="H32" i="66"/>
  <c r="H19" i="66"/>
  <c r="AA111" i="63"/>
  <c r="AG110" i="63"/>
  <c r="AI110" i="63" s="1"/>
  <c r="AU12" i="63" s="1"/>
  <c r="AG109" i="63"/>
  <c r="AI109" i="63" s="1"/>
  <c r="AU11" i="63" s="1"/>
  <c r="AG108" i="63"/>
  <c r="AI108" i="63" s="1"/>
  <c r="AU10" i="63" s="1"/>
  <c r="AG107" i="63"/>
  <c r="AI107" i="63" s="1"/>
  <c r="AU9" i="63" s="1"/>
  <c r="AG106" i="63"/>
  <c r="AI106" i="63" s="1"/>
  <c r="AU8" i="63" s="1"/>
  <c r="AG105" i="63"/>
  <c r="AI105" i="63" s="1"/>
  <c r="AU7" i="63" s="1"/>
  <c r="AG104" i="63"/>
  <c r="AI104" i="63" s="1"/>
  <c r="AU6" i="63" s="1"/>
  <c r="AG103" i="63"/>
  <c r="AI103" i="63" s="1"/>
  <c r="AU5" i="63" s="1"/>
  <c r="AZ13" i="63" s="1"/>
  <c r="AG102" i="63"/>
  <c r="AI102" i="63" s="1"/>
  <c r="AU4" i="63" s="1"/>
  <c r="AG99" i="63"/>
  <c r="AI99" i="63" s="1"/>
  <c r="AT12" i="63" s="1"/>
  <c r="AI98" i="63"/>
  <c r="AT11" i="63" s="1"/>
  <c r="AG98" i="63"/>
  <c r="AI97" i="63"/>
  <c r="AT10" i="63" s="1"/>
  <c r="AG97" i="63"/>
  <c r="AG96" i="63"/>
  <c r="AI96" i="63" s="1"/>
  <c r="AT9" i="63" s="1"/>
  <c r="AG95" i="63"/>
  <c r="AI95" i="63" s="1"/>
  <c r="AT8" i="63" s="1"/>
  <c r="AG94" i="63"/>
  <c r="AI94" i="63" s="1"/>
  <c r="AT7" i="63" s="1"/>
  <c r="AG93" i="63"/>
  <c r="AI93" i="63" s="1"/>
  <c r="AT6" i="63" s="1"/>
  <c r="AG92" i="63"/>
  <c r="AI92" i="63" s="1"/>
  <c r="AT5" i="63" s="1"/>
  <c r="AG91" i="63"/>
  <c r="AI91" i="63" s="1"/>
  <c r="AT4" i="63" s="1"/>
  <c r="AG88" i="63"/>
  <c r="AI88" i="63" s="1"/>
  <c r="AS12" i="63" s="1"/>
  <c r="AG87" i="63"/>
  <c r="AI87" i="63" s="1"/>
  <c r="AG86" i="63"/>
  <c r="AI86" i="63" s="1"/>
  <c r="AG85" i="63"/>
  <c r="AI85" i="63" s="1"/>
  <c r="AS9" i="63" s="1"/>
  <c r="AG84" i="63"/>
  <c r="AI84" i="63" s="1"/>
  <c r="AS8" i="63" s="1"/>
  <c r="AG83" i="63"/>
  <c r="AI83" i="63" s="1"/>
  <c r="AS7" i="63" s="1"/>
  <c r="AG82" i="63"/>
  <c r="AI82" i="63" s="1"/>
  <c r="AS6" i="63" s="1"/>
  <c r="AG81" i="63"/>
  <c r="AI81" i="63" s="1"/>
  <c r="AS5" i="63" s="1"/>
  <c r="AG80" i="63"/>
  <c r="AI80" i="63" s="1"/>
  <c r="AS4" i="63" s="1"/>
  <c r="AG77" i="63"/>
  <c r="AI77" i="63" s="1"/>
  <c r="AR12" i="63" s="1"/>
  <c r="AI76" i="63"/>
  <c r="AR11" i="63" s="1"/>
  <c r="AG76" i="63"/>
  <c r="AI75" i="63"/>
  <c r="AG75" i="63"/>
  <c r="AG74" i="63"/>
  <c r="AI74" i="63" s="1"/>
  <c r="AR9" i="63" s="1"/>
  <c r="AG73" i="63"/>
  <c r="AI73" i="63" s="1"/>
  <c r="AR8" i="63" s="1"/>
  <c r="AG72" i="63"/>
  <c r="AI72" i="63" s="1"/>
  <c r="AR7" i="63" s="1"/>
  <c r="AG71" i="63"/>
  <c r="AI71" i="63" s="1"/>
  <c r="AR6" i="63" s="1"/>
  <c r="AG70" i="63"/>
  <c r="AI70" i="63" s="1"/>
  <c r="AR5" i="63" s="1"/>
  <c r="AG69" i="63"/>
  <c r="AI69" i="63" s="1"/>
  <c r="AR4" i="63" s="1"/>
  <c r="AG66" i="63"/>
  <c r="AI66" i="63" s="1"/>
  <c r="AQ12" i="63" s="1"/>
  <c r="AG65" i="63"/>
  <c r="AI65" i="63" s="1"/>
  <c r="AQ11" i="63" s="1"/>
  <c r="AG64" i="63"/>
  <c r="AI64" i="63" s="1"/>
  <c r="AQ10" i="63" s="1"/>
  <c r="AG63" i="63"/>
  <c r="AI63" i="63" s="1"/>
  <c r="AQ9" i="63" s="1"/>
  <c r="AG62" i="63"/>
  <c r="AI62" i="63" s="1"/>
  <c r="AQ8" i="63" s="1"/>
  <c r="AG61" i="63"/>
  <c r="AI61" i="63" s="1"/>
  <c r="AQ7" i="63" s="1"/>
  <c r="AG60" i="63"/>
  <c r="AI60" i="63" s="1"/>
  <c r="AQ6" i="63" s="1"/>
  <c r="AG59" i="63"/>
  <c r="AI59" i="63" s="1"/>
  <c r="AQ5" i="63" s="1"/>
  <c r="AG58" i="63"/>
  <c r="AI58" i="63" s="1"/>
  <c r="AQ4" i="63" s="1"/>
  <c r="AG55" i="63"/>
  <c r="AI55" i="63" s="1"/>
  <c r="AP12" i="63" s="1"/>
  <c r="AI54" i="63"/>
  <c r="AP11" i="63" s="1"/>
  <c r="AG54" i="63"/>
  <c r="AI53" i="63"/>
  <c r="AG53" i="63"/>
  <c r="AG52" i="63"/>
  <c r="AI52" i="63" s="1"/>
  <c r="AP9" i="63" s="1"/>
  <c r="AG51" i="63"/>
  <c r="AI51" i="63" s="1"/>
  <c r="AP8" i="63" s="1"/>
  <c r="AG50" i="63"/>
  <c r="AI50" i="63" s="1"/>
  <c r="AP7" i="63" s="1"/>
  <c r="AG49" i="63"/>
  <c r="AI49" i="63" s="1"/>
  <c r="AP6" i="63" s="1"/>
  <c r="AG48" i="63"/>
  <c r="AI48" i="63" s="1"/>
  <c r="AP5" i="63" s="1"/>
  <c r="AG47" i="63"/>
  <c r="AI47" i="63" s="1"/>
  <c r="AP4" i="63" s="1"/>
  <c r="AG44" i="63"/>
  <c r="AI44" i="63" s="1"/>
  <c r="AO12" i="63" s="1"/>
  <c r="AG43" i="63"/>
  <c r="AI43" i="63" s="1"/>
  <c r="AG42" i="63"/>
  <c r="AI42" i="63" s="1"/>
  <c r="AO10" i="63" s="1"/>
  <c r="AG41" i="63"/>
  <c r="AI41" i="63" s="1"/>
  <c r="AO9" i="63" s="1"/>
  <c r="AG40" i="63"/>
  <c r="AI40" i="63" s="1"/>
  <c r="AO8" i="63" s="1"/>
  <c r="AG39" i="63"/>
  <c r="AI39" i="63" s="1"/>
  <c r="AO7" i="63" s="1"/>
  <c r="AG38" i="63"/>
  <c r="AI38" i="63" s="1"/>
  <c r="AO6" i="63" s="1"/>
  <c r="AG37" i="63"/>
  <c r="AI37" i="63" s="1"/>
  <c r="AO5" i="63" s="1"/>
  <c r="AG36" i="63"/>
  <c r="AI36" i="63" s="1"/>
  <c r="AO4" i="63" s="1"/>
  <c r="AG33" i="63"/>
  <c r="AI33" i="63" s="1"/>
  <c r="AN12" i="63" s="1"/>
  <c r="AI32" i="63"/>
  <c r="AN11" i="63" s="1"/>
  <c r="AG32" i="63"/>
  <c r="AG31" i="63"/>
  <c r="AI31" i="63" s="1"/>
  <c r="AN10" i="63" s="1"/>
  <c r="AG30" i="63"/>
  <c r="AI30" i="63" s="1"/>
  <c r="AN9" i="63" s="1"/>
  <c r="AG29" i="63"/>
  <c r="AI29" i="63" s="1"/>
  <c r="AN8" i="63" s="1"/>
  <c r="AG28" i="63"/>
  <c r="AI28" i="63" s="1"/>
  <c r="AN7" i="63" s="1"/>
  <c r="AG27" i="63"/>
  <c r="AI27" i="63" s="1"/>
  <c r="AN6" i="63" s="1"/>
  <c r="AG26" i="63"/>
  <c r="AI26" i="63" s="1"/>
  <c r="AN5" i="63" s="1"/>
  <c r="BB25" i="63"/>
  <c r="AZ25" i="63"/>
  <c r="AG25" i="63"/>
  <c r="AI25" i="63" s="1"/>
  <c r="AN4" i="63" s="1"/>
  <c r="BB24" i="63"/>
  <c r="AZ24" i="63"/>
  <c r="BB23" i="63"/>
  <c r="AZ23" i="63"/>
  <c r="AZ22" i="63"/>
  <c r="BB22" i="63" s="1"/>
  <c r="AG22" i="63"/>
  <c r="AI22" i="63" s="1"/>
  <c r="AM12" i="63" s="1"/>
  <c r="BB21" i="63"/>
  <c r="AZ21" i="63"/>
  <c r="AG21" i="63"/>
  <c r="AI21" i="63" s="1"/>
  <c r="AM11" i="63" s="1"/>
  <c r="AZ20" i="63"/>
  <c r="BB20" i="63" s="1"/>
  <c r="AI20" i="63"/>
  <c r="AM10" i="63" s="1"/>
  <c r="AG20" i="63"/>
  <c r="AZ19" i="63"/>
  <c r="BB19" i="63" s="1"/>
  <c r="AG19" i="63"/>
  <c r="AI19" i="63" s="1"/>
  <c r="AM9" i="63" s="1"/>
  <c r="AZ18" i="63"/>
  <c r="BB18" i="63" s="1"/>
  <c r="AG18" i="63"/>
  <c r="AI18" i="63" s="1"/>
  <c r="AM8" i="63" s="1"/>
  <c r="AZ17" i="63"/>
  <c r="BB17" i="63" s="1"/>
  <c r="AG17" i="63"/>
  <c r="AI17" i="63" s="1"/>
  <c r="AM7" i="63" s="1"/>
  <c r="BB16" i="63"/>
  <c r="AZ16" i="63"/>
  <c r="AG16" i="63"/>
  <c r="AI16" i="63" s="1"/>
  <c r="AM6" i="63" s="1"/>
  <c r="AG15" i="63"/>
  <c r="AI15" i="63" s="1"/>
  <c r="AM5" i="63" s="1"/>
  <c r="AG14" i="63"/>
  <c r="AI14" i="63" s="1"/>
  <c r="AM4" i="63" s="1"/>
  <c r="AL12" i="63"/>
  <c r="AS11" i="63"/>
  <c r="AO11" i="63"/>
  <c r="AI11" i="63"/>
  <c r="AG11" i="63"/>
  <c r="AS10" i="63"/>
  <c r="AR10" i="63"/>
  <c r="AP10" i="63"/>
  <c r="AG10" i="63"/>
  <c r="AI10" i="63" s="1"/>
  <c r="AL11" i="63" s="1"/>
  <c r="AG9" i="63"/>
  <c r="AI9" i="63" s="1"/>
  <c r="AL10" i="63" s="1"/>
  <c r="AG8" i="63"/>
  <c r="AI8" i="63" s="1"/>
  <c r="AL9" i="63" s="1"/>
  <c r="AG7" i="63"/>
  <c r="AI7" i="63" s="1"/>
  <c r="AL8" i="63" s="1"/>
  <c r="AG6" i="63"/>
  <c r="AI6" i="63" s="1"/>
  <c r="AL7" i="63" s="1"/>
  <c r="AG5" i="63"/>
  <c r="AI5" i="63" s="1"/>
  <c r="AL6" i="63" s="1"/>
  <c r="AG4" i="63"/>
  <c r="AI4" i="63" s="1"/>
  <c r="AL5" i="63" s="1"/>
  <c r="AG3" i="63"/>
  <c r="AI3" i="63" s="1"/>
  <c r="AL4" i="63" s="1"/>
  <c r="AI123" i="62"/>
  <c r="AT12" i="62" s="1"/>
  <c r="AT27" i="62" s="1"/>
  <c r="AG123" i="62"/>
  <c r="AI122" i="62"/>
  <c r="AG122" i="62"/>
  <c r="AG121" i="62"/>
  <c r="AI121" i="62" s="1"/>
  <c r="AT10" i="62" s="1"/>
  <c r="AG120" i="62"/>
  <c r="AI120" i="62" s="1"/>
  <c r="AT9" i="62" s="1"/>
  <c r="AG119" i="62"/>
  <c r="AI119" i="62" s="1"/>
  <c r="AT8" i="62" s="1"/>
  <c r="AG118" i="62"/>
  <c r="AI118" i="62" s="1"/>
  <c r="AT7" i="62" s="1"/>
  <c r="AI117" i="62"/>
  <c r="AG117" i="62"/>
  <c r="AI116" i="62"/>
  <c r="AG116" i="62"/>
  <c r="AI115" i="62"/>
  <c r="AG115" i="62"/>
  <c r="AI110" i="62"/>
  <c r="AG110" i="62"/>
  <c r="AI109" i="62"/>
  <c r="AG109" i="62"/>
  <c r="AI108" i="62"/>
  <c r="AG108" i="62"/>
  <c r="AI107" i="62"/>
  <c r="AG107" i="62"/>
  <c r="AI106" i="62"/>
  <c r="AG106" i="62"/>
  <c r="AI105" i="62"/>
  <c r="AG105" i="62"/>
  <c r="AI104" i="62"/>
  <c r="AV6" i="62" s="1"/>
  <c r="AV21" i="62" s="1"/>
  <c r="AG104" i="62"/>
  <c r="AI103" i="62"/>
  <c r="AG103" i="62"/>
  <c r="AI102" i="62"/>
  <c r="AG102" i="62"/>
  <c r="AI99" i="62"/>
  <c r="AG99" i="62"/>
  <c r="AI98" i="62"/>
  <c r="AG98" i="62"/>
  <c r="AI97" i="62"/>
  <c r="AG97" i="62"/>
  <c r="AI96" i="62"/>
  <c r="AG96" i="62"/>
  <c r="AI95" i="62"/>
  <c r="AG95" i="62"/>
  <c r="AI94" i="62"/>
  <c r="AG94" i="62"/>
  <c r="AI93" i="62"/>
  <c r="AU6" i="62" s="1"/>
  <c r="AU21" i="62" s="1"/>
  <c r="AG93" i="62"/>
  <c r="AI92" i="62"/>
  <c r="AG92" i="62"/>
  <c r="AI91" i="62"/>
  <c r="AG91" i="62"/>
  <c r="AI88" i="62"/>
  <c r="AG88" i="62"/>
  <c r="AI87" i="62"/>
  <c r="AG87" i="62"/>
  <c r="AI86" i="62"/>
  <c r="AG86" i="62"/>
  <c r="AI85" i="62"/>
  <c r="AS9" i="62" s="1"/>
  <c r="AS24" i="62" s="1"/>
  <c r="AG85" i="62"/>
  <c r="AI84" i="62"/>
  <c r="AG84" i="62"/>
  <c r="AI83" i="62"/>
  <c r="AG83" i="62"/>
  <c r="AI82" i="62"/>
  <c r="AG82" i="62"/>
  <c r="AI81" i="62"/>
  <c r="AG81" i="62"/>
  <c r="AI80" i="62"/>
  <c r="AG80" i="62"/>
  <c r="AI77" i="62"/>
  <c r="AR12" i="62" s="1"/>
  <c r="AR27" i="62" s="1"/>
  <c r="AG77" i="62"/>
  <c r="AI76" i="62"/>
  <c r="AG76" i="62"/>
  <c r="AI75" i="62"/>
  <c r="AG75" i="62"/>
  <c r="AI74" i="62"/>
  <c r="AR9" i="62" s="1"/>
  <c r="AG74" i="62"/>
  <c r="AI73" i="62"/>
  <c r="AR8" i="62" s="1"/>
  <c r="AR23" i="62" s="1"/>
  <c r="AG73" i="62"/>
  <c r="AI72" i="62"/>
  <c r="AG72" i="62"/>
  <c r="AI71" i="62"/>
  <c r="AG71" i="62"/>
  <c r="AI70" i="62"/>
  <c r="AG70" i="62"/>
  <c r="AI69" i="62"/>
  <c r="AG69" i="62"/>
  <c r="AI66" i="62"/>
  <c r="AQ12" i="62" s="1"/>
  <c r="AQ27" i="62" s="1"/>
  <c r="AG66" i="62"/>
  <c r="AI65" i="62"/>
  <c r="AG65" i="62"/>
  <c r="AI64" i="62"/>
  <c r="AG64" i="62"/>
  <c r="AI63" i="62"/>
  <c r="AG63" i="62"/>
  <c r="AI62" i="62"/>
  <c r="AG62" i="62"/>
  <c r="AI61" i="62"/>
  <c r="AG61" i="62"/>
  <c r="AI60" i="62"/>
  <c r="AG60" i="62"/>
  <c r="AI59" i="62"/>
  <c r="AG59" i="62"/>
  <c r="AI58" i="62"/>
  <c r="AG58" i="62"/>
  <c r="AI55" i="62"/>
  <c r="AG55" i="62"/>
  <c r="AI54" i="62"/>
  <c r="AG54" i="62"/>
  <c r="AI53" i="62"/>
  <c r="AG53" i="62"/>
  <c r="AI52" i="62"/>
  <c r="AG52" i="62"/>
  <c r="AI51" i="62"/>
  <c r="AG51" i="62"/>
  <c r="AI50" i="62"/>
  <c r="AG50" i="62"/>
  <c r="AI49" i="62"/>
  <c r="AG49" i="62"/>
  <c r="AI48" i="62"/>
  <c r="AG48" i="62"/>
  <c r="AI47" i="62"/>
  <c r="AG47" i="62"/>
  <c r="AI44" i="62"/>
  <c r="AG44" i="62"/>
  <c r="AI43" i="62"/>
  <c r="AO11" i="62" s="1"/>
  <c r="AO26" i="62" s="1"/>
  <c r="AG43" i="62"/>
  <c r="AI42" i="62"/>
  <c r="AG42" i="62"/>
  <c r="AI41" i="62"/>
  <c r="AG41" i="62"/>
  <c r="AI40" i="62"/>
  <c r="AG40" i="62"/>
  <c r="AI39" i="62"/>
  <c r="AG39" i="62"/>
  <c r="AI38" i="62"/>
  <c r="AG38" i="62"/>
  <c r="AI37" i="62"/>
  <c r="AO5" i="62" s="1"/>
  <c r="AG37" i="62"/>
  <c r="AI36" i="62"/>
  <c r="AG36" i="62"/>
  <c r="AI33" i="62"/>
  <c r="AG33" i="62"/>
  <c r="AI32" i="62"/>
  <c r="AG32" i="62"/>
  <c r="AI31" i="62"/>
  <c r="AG31" i="62"/>
  <c r="AI30" i="62"/>
  <c r="AG30" i="62"/>
  <c r="AI29" i="62"/>
  <c r="AG29" i="62"/>
  <c r="AG28" i="62"/>
  <c r="AI28" i="62" s="1"/>
  <c r="AN7" i="62" s="1"/>
  <c r="AV27" i="62"/>
  <c r="AP27" i="62"/>
  <c r="AG27" i="62"/>
  <c r="AI27" i="62" s="1"/>
  <c r="AN6" i="62" s="1"/>
  <c r="BC26" i="62"/>
  <c r="BA26" i="62"/>
  <c r="AG26" i="62"/>
  <c r="AI26" i="62" s="1"/>
  <c r="AN5" i="62" s="1"/>
  <c r="BA25" i="62"/>
  <c r="BC25" i="62" s="1"/>
  <c r="AG25" i="62"/>
  <c r="AI25" i="62" s="1"/>
  <c r="AN4" i="62" s="1"/>
  <c r="AW4" i="62" s="1"/>
  <c r="BA24" i="62"/>
  <c r="BC24" i="62" s="1"/>
  <c r="AP24" i="62"/>
  <c r="BA23" i="62"/>
  <c r="BC23" i="62" s="1"/>
  <c r="BA22" i="62"/>
  <c r="BC22" i="62" s="1"/>
  <c r="AG22" i="62"/>
  <c r="AI22" i="62" s="1"/>
  <c r="AM12" i="62" s="1"/>
  <c r="AM27" i="62" s="1"/>
  <c r="BA21" i="62"/>
  <c r="BC21" i="62" s="1"/>
  <c r="AP21" i="62"/>
  <c r="AG21" i="62"/>
  <c r="AI21" i="62" s="1"/>
  <c r="AM11" i="62" s="1"/>
  <c r="AM26" i="62" s="1"/>
  <c r="BA20" i="62"/>
  <c r="BC20" i="62" s="1"/>
  <c r="AU20" i="62"/>
  <c r="AT20" i="62"/>
  <c r="AG20" i="62"/>
  <c r="AI20" i="62" s="1"/>
  <c r="AM10" i="62" s="1"/>
  <c r="AM25" i="62" s="1"/>
  <c r="BA19" i="62"/>
  <c r="BC19" i="62" s="1"/>
  <c r="AG19" i="62"/>
  <c r="AI19" i="62" s="1"/>
  <c r="AM9" i="62" s="1"/>
  <c r="BA18" i="62"/>
  <c r="BC18" i="62" s="1"/>
  <c r="AG18" i="62"/>
  <c r="AI18" i="62" s="1"/>
  <c r="AM8" i="62" s="1"/>
  <c r="BA17" i="62"/>
  <c r="BC17" i="62" s="1"/>
  <c r="AG17" i="62"/>
  <c r="AI17" i="62" s="1"/>
  <c r="AM7" i="62" s="1"/>
  <c r="AG16" i="62"/>
  <c r="AI16" i="62" s="1"/>
  <c r="AM6" i="62" s="1"/>
  <c r="AG15" i="62"/>
  <c r="AI15" i="62" s="1"/>
  <c r="AM5" i="62" s="1"/>
  <c r="AI14" i="62"/>
  <c r="AG14" i="62"/>
  <c r="BA13" i="62"/>
  <c r="AV13" i="62"/>
  <c r="AV28" i="62" s="1"/>
  <c r="AV12" i="62"/>
  <c r="AU12" i="62"/>
  <c r="AU27" i="62" s="1"/>
  <c r="AS12" i="62"/>
  <c r="AS27" i="62" s="1"/>
  <c r="AP12" i="62"/>
  <c r="AO12" i="62"/>
  <c r="AO27" i="62" s="1"/>
  <c r="AN12" i="62"/>
  <c r="AN27" i="62" s="1"/>
  <c r="BA11" i="62"/>
  <c r="AV11" i="62"/>
  <c r="AV26" i="62" s="1"/>
  <c r="AU11" i="62"/>
  <c r="AT11" i="62"/>
  <c r="AS11" i="62"/>
  <c r="AS26" i="62" s="1"/>
  <c r="AR11" i="62"/>
  <c r="AR26" i="62" s="1"/>
  <c r="AQ11" i="62"/>
  <c r="AQ26" i="62" s="1"/>
  <c r="AP11" i="62"/>
  <c r="AP26" i="62" s="1"/>
  <c r="AN11" i="62"/>
  <c r="AI11" i="62"/>
  <c r="AL12" i="62" s="1"/>
  <c r="AG11" i="62"/>
  <c r="AV10" i="62"/>
  <c r="AV25" i="62" s="1"/>
  <c r="AU10" i="62"/>
  <c r="AU25" i="62" s="1"/>
  <c r="AS10" i="62"/>
  <c r="AS25" i="62" s="1"/>
  <c r="AR10" i="62"/>
  <c r="AQ10" i="62"/>
  <c r="AQ25" i="62" s="1"/>
  <c r="AP10" i="62"/>
  <c r="AP25" i="62" s="1"/>
  <c r="AO10" i="62"/>
  <c r="AO25" i="62" s="1"/>
  <c r="AN10" i="62"/>
  <c r="AG10" i="62"/>
  <c r="AI10" i="62" s="1"/>
  <c r="AL11" i="62" s="1"/>
  <c r="AV9" i="62"/>
  <c r="BB14" i="62" s="1"/>
  <c r="AU9" i="62"/>
  <c r="AU24" i="62" s="1"/>
  <c r="AQ9" i="62"/>
  <c r="AQ24" i="62" s="1"/>
  <c r="AP9" i="62"/>
  <c r="AP13" i="62" s="1"/>
  <c r="AP28" i="62" s="1"/>
  <c r="AO9" i="62"/>
  <c r="AO24" i="62" s="1"/>
  <c r="AN9" i="62"/>
  <c r="AG9" i="62"/>
  <c r="AI9" i="62" s="1"/>
  <c r="AL10" i="62" s="1"/>
  <c r="AV8" i="62"/>
  <c r="AU8" i="62"/>
  <c r="AU23" i="62" s="1"/>
  <c r="AS8" i="62"/>
  <c r="AS23" i="62" s="1"/>
  <c r="AQ8" i="62"/>
  <c r="AQ23" i="62" s="1"/>
  <c r="AP8" i="62"/>
  <c r="AP23" i="62" s="1"/>
  <c r="AO8" i="62"/>
  <c r="AO23" i="62" s="1"/>
  <c r="AN8" i="62"/>
  <c r="AG8" i="62"/>
  <c r="AI8" i="62" s="1"/>
  <c r="AL9" i="62" s="1"/>
  <c r="BB7" i="62"/>
  <c r="AV7" i="62"/>
  <c r="AV22" i="62" s="1"/>
  <c r="AU7" i="62"/>
  <c r="AU13" i="62" s="1"/>
  <c r="AU28" i="62" s="1"/>
  <c r="AS7" i="62"/>
  <c r="AS13" i="62" s="1"/>
  <c r="AS28" i="62" s="1"/>
  <c r="AR7" i="62"/>
  <c r="AR22" i="62" s="1"/>
  <c r="AQ7" i="62"/>
  <c r="BB9" i="62" s="1"/>
  <c r="AP7" i="62"/>
  <c r="AP22" i="62" s="1"/>
  <c r="AO7" i="62"/>
  <c r="AO13" i="62" s="1"/>
  <c r="AO28" i="62" s="1"/>
  <c r="AL7" i="62"/>
  <c r="AG7" i="62"/>
  <c r="AI7" i="62" s="1"/>
  <c r="AL8" i="62" s="1"/>
  <c r="AT6" i="62"/>
  <c r="AT21" i="62" s="1"/>
  <c r="AS6" i="62"/>
  <c r="AS21" i="62" s="1"/>
  <c r="AR6" i="62"/>
  <c r="AR25" i="62" s="1"/>
  <c r="AQ6" i="62"/>
  <c r="AQ21" i="62" s="1"/>
  <c r="AP6" i="62"/>
  <c r="AO6" i="62"/>
  <c r="AO21" i="62" s="1"/>
  <c r="AI6" i="62"/>
  <c r="AG6" i="62"/>
  <c r="AV5" i="62"/>
  <c r="AV23" i="62" s="1"/>
  <c r="AU5" i="62"/>
  <c r="AT5" i="62"/>
  <c r="BA12" i="62" s="1"/>
  <c r="AS5" i="62"/>
  <c r="AS20" i="62" s="1"/>
  <c r="AR5" i="62"/>
  <c r="AR20" i="62" s="1"/>
  <c r="AQ5" i="62"/>
  <c r="BA9" i="62" s="1"/>
  <c r="AP5" i="62"/>
  <c r="BA8" i="62" s="1"/>
  <c r="AG5" i="62"/>
  <c r="AI5" i="62" s="1"/>
  <c r="AL6" i="62" s="1"/>
  <c r="AV4" i="62"/>
  <c r="AU4" i="62"/>
  <c r="AT4" i="62"/>
  <c r="AS4" i="62"/>
  <c r="AR4" i="62"/>
  <c r="AQ4" i="62"/>
  <c r="AP4" i="62"/>
  <c r="AP20" i="62" s="1"/>
  <c r="AO4" i="62"/>
  <c r="AM4" i="62"/>
  <c r="AL4" i="62"/>
  <c r="AG4" i="62"/>
  <c r="AI4" i="62" s="1"/>
  <c r="AL5" i="62" s="1"/>
  <c r="AI3" i="62"/>
  <c r="AG3" i="62"/>
  <c r="AG110" i="59"/>
  <c r="AI110" i="59" s="1"/>
  <c r="AI109" i="59"/>
  <c r="AG109" i="59"/>
  <c r="AG108" i="59"/>
  <c r="AI108" i="59" s="1"/>
  <c r="AU10" i="59" s="1"/>
  <c r="AG107" i="59"/>
  <c r="AI107" i="59" s="1"/>
  <c r="AU9" i="59" s="1"/>
  <c r="AG106" i="59"/>
  <c r="AI106" i="59" s="1"/>
  <c r="AU8" i="59" s="1"/>
  <c r="AU27" i="59" s="1"/>
  <c r="AG105" i="59"/>
  <c r="AI105" i="59" s="1"/>
  <c r="AU7" i="59" s="1"/>
  <c r="AG104" i="59"/>
  <c r="AI104" i="59" s="1"/>
  <c r="AU6" i="59" s="1"/>
  <c r="AG103" i="59"/>
  <c r="AI103" i="59" s="1"/>
  <c r="AU5" i="59" s="1"/>
  <c r="AG102" i="59"/>
  <c r="AI102" i="59" s="1"/>
  <c r="AU4" i="59" s="1"/>
  <c r="AG99" i="59"/>
  <c r="AI99" i="59" s="1"/>
  <c r="AT12" i="59" s="1"/>
  <c r="AG98" i="59"/>
  <c r="AI98" i="59" s="1"/>
  <c r="AT11" i="59" s="1"/>
  <c r="AI97" i="59"/>
  <c r="AT10" i="59" s="1"/>
  <c r="AG97" i="59"/>
  <c r="AG96" i="59"/>
  <c r="AI96" i="59" s="1"/>
  <c r="AT9" i="59" s="1"/>
  <c r="AG95" i="59"/>
  <c r="AI95" i="59" s="1"/>
  <c r="AT8" i="59" s="1"/>
  <c r="AG94" i="59"/>
  <c r="AI94" i="59" s="1"/>
  <c r="AT7" i="59" s="1"/>
  <c r="AG93" i="59"/>
  <c r="AI93" i="59" s="1"/>
  <c r="AT6" i="59" s="1"/>
  <c r="AG92" i="59"/>
  <c r="AI92" i="59" s="1"/>
  <c r="AT5" i="59" s="1"/>
  <c r="AG91" i="59"/>
  <c r="AI91" i="59" s="1"/>
  <c r="AT4" i="59" s="1"/>
  <c r="AI88" i="59"/>
  <c r="AS12" i="59" s="1"/>
  <c r="AG88" i="59"/>
  <c r="AI87" i="59"/>
  <c r="AS11" i="59" s="1"/>
  <c r="AG87" i="59"/>
  <c r="AG86" i="59"/>
  <c r="AI86" i="59" s="1"/>
  <c r="AS10" i="59" s="1"/>
  <c r="AG85" i="59"/>
  <c r="AI85" i="59" s="1"/>
  <c r="AS9" i="59" s="1"/>
  <c r="AG84" i="59"/>
  <c r="AI84" i="59" s="1"/>
  <c r="AS8" i="59" s="1"/>
  <c r="AG83" i="59"/>
  <c r="AI83" i="59" s="1"/>
  <c r="AS7" i="59" s="1"/>
  <c r="AG82" i="59"/>
  <c r="AI82" i="59" s="1"/>
  <c r="AS6" i="59" s="1"/>
  <c r="AG81" i="59"/>
  <c r="AI81" i="59" s="1"/>
  <c r="AS5" i="59" s="1"/>
  <c r="AZ11" i="59" s="1"/>
  <c r="AG80" i="59"/>
  <c r="AI80" i="59" s="1"/>
  <c r="AS4" i="59" s="1"/>
  <c r="AG77" i="59"/>
  <c r="AI77" i="59" s="1"/>
  <c r="AG76" i="59"/>
  <c r="AI76" i="59" s="1"/>
  <c r="AR11" i="59" s="1"/>
  <c r="AG75" i="59"/>
  <c r="AI75" i="59" s="1"/>
  <c r="AG74" i="59"/>
  <c r="AI74" i="59" s="1"/>
  <c r="AR9" i="59" s="1"/>
  <c r="AG73" i="59"/>
  <c r="AI73" i="59" s="1"/>
  <c r="AR8" i="59" s="1"/>
  <c r="AG72" i="59"/>
  <c r="AI72" i="59" s="1"/>
  <c r="AR7" i="59" s="1"/>
  <c r="AG71" i="59"/>
  <c r="AI71" i="59" s="1"/>
  <c r="AR6" i="59" s="1"/>
  <c r="AG70" i="59"/>
  <c r="AI70" i="59" s="1"/>
  <c r="AR5" i="59" s="1"/>
  <c r="AZ10" i="59" s="1"/>
  <c r="AG69" i="59"/>
  <c r="AI69" i="59" s="1"/>
  <c r="AR4" i="59" s="1"/>
  <c r="AI66" i="59"/>
  <c r="AQ12" i="59" s="1"/>
  <c r="AG66" i="59"/>
  <c r="AG65" i="59"/>
  <c r="AI65" i="59" s="1"/>
  <c r="AQ11" i="59" s="1"/>
  <c r="AG64" i="59"/>
  <c r="AI64" i="59" s="1"/>
  <c r="AQ10" i="59" s="1"/>
  <c r="AG63" i="59"/>
  <c r="AI63" i="59" s="1"/>
  <c r="AQ9" i="59" s="1"/>
  <c r="AG62" i="59"/>
  <c r="AI62" i="59" s="1"/>
  <c r="AQ8" i="59" s="1"/>
  <c r="AG61" i="59"/>
  <c r="AI61" i="59" s="1"/>
  <c r="AQ7" i="59" s="1"/>
  <c r="AG60" i="59"/>
  <c r="AI60" i="59" s="1"/>
  <c r="AQ6" i="59" s="1"/>
  <c r="AG59" i="59"/>
  <c r="AI59" i="59" s="1"/>
  <c r="AQ5" i="59" s="1"/>
  <c r="AZ9" i="59" s="1"/>
  <c r="AG58" i="59"/>
  <c r="AI58" i="59" s="1"/>
  <c r="AQ4" i="59" s="1"/>
  <c r="AG55" i="59"/>
  <c r="AI55" i="59" s="1"/>
  <c r="AP12" i="59" s="1"/>
  <c r="AI54" i="59"/>
  <c r="AG54" i="59"/>
  <c r="AI53" i="59"/>
  <c r="AG53" i="59"/>
  <c r="AG52" i="59"/>
  <c r="AI52" i="59" s="1"/>
  <c r="AP9" i="59" s="1"/>
  <c r="AG51" i="59"/>
  <c r="AI51" i="59" s="1"/>
  <c r="AP8" i="59" s="1"/>
  <c r="AG50" i="59"/>
  <c r="AI50" i="59" s="1"/>
  <c r="AP7" i="59" s="1"/>
  <c r="AG49" i="59"/>
  <c r="AI49" i="59" s="1"/>
  <c r="AP6" i="59" s="1"/>
  <c r="AG48" i="59"/>
  <c r="AI48" i="59" s="1"/>
  <c r="AP5" i="59" s="1"/>
  <c r="AG47" i="59"/>
  <c r="AI47" i="59" s="1"/>
  <c r="AP4" i="59" s="1"/>
  <c r="AI44" i="59"/>
  <c r="AO12" i="59" s="1"/>
  <c r="AG44" i="59"/>
  <c r="AI43" i="59"/>
  <c r="AG43" i="59"/>
  <c r="AG42" i="59"/>
  <c r="AI42" i="59" s="1"/>
  <c r="AG41" i="59"/>
  <c r="AI41" i="59" s="1"/>
  <c r="AO9" i="59" s="1"/>
  <c r="AG40" i="59"/>
  <c r="AI40" i="59" s="1"/>
  <c r="AO8" i="59" s="1"/>
  <c r="AG39" i="59"/>
  <c r="AI39" i="59" s="1"/>
  <c r="AO7" i="59" s="1"/>
  <c r="AG38" i="59"/>
  <c r="AI38" i="59" s="1"/>
  <c r="AO6" i="59" s="1"/>
  <c r="AG37" i="59"/>
  <c r="AI37" i="59" s="1"/>
  <c r="AO5" i="59" s="1"/>
  <c r="AG36" i="59"/>
  <c r="AI36" i="59" s="1"/>
  <c r="AO4" i="59" s="1"/>
  <c r="AG33" i="59"/>
  <c r="AI33" i="59" s="1"/>
  <c r="AN12" i="59" s="1"/>
  <c r="AG32" i="59"/>
  <c r="AI32" i="59" s="1"/>
  <c r="AN11" i="59" s="1"/>
  <c r="AG31" i="59"/>
  <c r="AI31" i="59" s="1"/>
  <c r="AN10" i="59" s="1"/>
  <c r="AG30" i="59"/>
  <c r="AI30" i="59" s="1"/>
  <c r="AN9" i="59" s="1"/>
  <c r="AG29" i="59"/>
  <c r="AI29" i="59" s="1"/>
  <c r="AN8" i="59" s="1"/>
  <c r="AN27" i="59" s="1"/>
  <c r="AG28" i="59"/>
  <c r="AI28" i="59" s="1"/>
  <c r="AN7" i="59" s="1"/>
  <c r="AG27" i="59"/>
  <c r="AI27" i="59" s="1"/>
  <c r="AN6" i="59" s="1"/>
  <c r="AG26" i="59"/>
  <c r="AI26" i="59" s="1"/>
  <c r="AN5" i="59" s="1"/>
  <c r="AZ25" i="59"/>
  <c r="BB25" i="59" s="1"/>
  <c r="AG25" i="59"/>
  <c r="AI25" i="59" s="1"/>
  <c r="AN4" i="59" s="1"/>
  <c r="AZ24" i="59"/>
  <c r="BB24" i="59" s="1"/>
  <c r="AZ23" i="59"/>
  <c r="BB23" i="59" s="1"/>
  <c r="AZ22" i="59"/>
  <c r="BB22" i="59" s="1"/>
  <c r="AG22" i="59"/>
  <c r="AI22" i="59" s="1"/>
  <c r="AM12" i="59" s="1"/>
  <c r="AZ21" i="59"/>
  <c r="BB21" i="59" s="1"/>
  <c r="AG21" i="59"/>
  <c r="AI21" i="59" s="1"/>
  <c r="AZ20" i="59"/>
  <c r="BB20" i="59" s="1"/>
  <c r="AG20" i="59"/>
  <c r="AI20" i="59" s="1"/>
  <c r="AM10" i="59" s="1"/>
  <c r="AZ19" i="59"/>
  <c r="BB19" i="59" s="1"/>
  <c r="AG19" i="59"/>
  <c r="AI19" i="59" s="1"/>
  <c r="AM9" i="59" s="1"/>
  <c r="AZ18" i="59"/>
  <c r="BB18" i="59" s="1"/>
  <c r="AG18" i="59"/>
  <c r="AI18" i="59" s="1"/>
  <c r="AM8" i="59" s="1"/>
  <c r="AM27" i="59" s="1"/>
  <c r="AZ17" i="59"/>
  <c r="BB17" i="59" s="1"/>
  <c r="AG17" i="59"/>
  <c r="AI17" i="59" s="1"/>
  <c r="AM7" i="59" s="1"/>
  <c r="BB16" i="59"/>
  <c r="AZ16" i="59"/>
  <c r="AG16" i="59"/>
  <c r="AI16" i="59" s="1"/>
  <c r="AM6" i="59" s="1"/>
  <c r="AG15" i="59"/>
  <c r="AI15" i="59" s="1"/>
  <c r="AM5" i="59" s="1"/>
  <c r="AZ5" i="59" s="1"/>
  <c r="AG14" i="59"/>
  <c r="AI14" i="59" s="1"/>
  <c r="AM4" i="59" s="1"/>
  <c r="AU12" i="59"/>
  <c r="AR12" i="59"/>
  <c r="AU11" i="59"/>
  <c r="AP11" i="59"/>
  <c r="AO11" i="59"/>
  <c r="AM11" i="59"/>
  <c r="AG11" i="59"/>
  <c r="AI11" i="59" s="1"/>
  <c r="AL12" i="59" s="1"/>
  <c r="AR10" i="59"/>
  <c r="AP10" i="59"/>
  <c r="AO10" i="59"/>
  <c r="AG10" i="59"/>
  <c r="AI10" i="59" s="1"/>
  <c r="AL11" i="59" s="1"/>
  <c r="AG9" i="59"/>
  <c r="AI9" i="59" s="1"/>
  <c r="AL10" i="59" s="1"/>
  <c r="AG8" i="59"/>
  <c r="AI8" i="59" s="1"/>
  <c r="AL9" i="59" s="1"/>
  <c r="AG7" i="59"/>
  <c r="AI7" i="59" s="1"/>
  <c r="AL8" i="59" s="1"/>
  <c r="AG6" i="59"/>
  <c r="AI6" i="59" s="1"/>
  <c r="AL7" i="59" s="1"/>
  <c r="AG5" i="59"/>
  <c r="AI5" i="59" s="1"/>
  <c r="AL6" i="59" s="1"/>
  <c r="AG4" i="59"/>
  <c r="AI4" i="59" s="1"/>
  <c r="AL5" i="59" s="1"/>
  <c r="AZ4" i="59" s="1"/>
  <c r="AG3" i="59"/>
  <c r="AI3" i="59" s="1"/>
  <c r="AL4" i="59" s="1"/>
  <c r="O48" i="66" l="1"/>
  <c r="M55" i="66"/>
  <c r="M50" i="66"/>
  <c r="M57" i="66" s="1"/>
  <c r="O47" i="66"/>
  <c r="O49" i="66"/>
  <c r="N50" i="66"/>
  <c r="AT26" i="63"/>
  <c r="AN27" i="63"/>
  <c r="AU27" i="63"/>
  <c r="AU23" i="63"/>
  <c r="AU24" i="63"/>
  <c r="AU20" i="63"/>
  <c r="AT27" i="63"/>
  <c r="AT13" i="63"/>
  <c r="AT28" i="63" s="1"/>
  <c r="BA12" i="63"/>
  <c r="AS21" i="63"/>
  <c r="AS24" i="63"/>
  <c r="AS23" i="63"/>
  <c r="BA10" i="63"/>
  <c r="AR27" i="63"/>
  <c r="AR26" i="63"/>
  <c r="AR25" i="63"/>
  <c r="AQ25" i="63"/>
  <c r="AQ21" i="63"/>
  <c r="AQ23" i="63"/>
  <c r="AP27" i="63"/>
  <c r="AP26" i="63"/>
  <c r="AO25" i="63"/>
  <c r="AN26" i="63"/>
  <c r="AM27" i="63"/>
  <c r="AM13" i="63"/>
  <c r="AM28" i="63" s="1"/>
  <c r="BA5" i="63"/>
  <c r="AM26" i="63"/>
  <c r="AM25" i="63"/>
  <c r="AV9" i="63"/>
  <c r="AL24" i="63"/>
  <c r="AZ4" i="63"/>
  <c r="AL22" i="63"/>
  <c r="AV7" i="63"/>
  <c r="AL13" i="63"/>
  <c r="AL28" i="63" s="1"/>
  <c r="BA4" i="63"/>
  <c r="AV6" i="63"/>
  <c r="AV10" i="63"/>
  <c r="AL25" i="63"/>
  <c r="AP20" i="63"/>
  <c r="AZ8" i="63"/>
  <c r="AP23" i="63"/>
  <c r="AV4" i="63"/>
  <c r="AP21" i="63"/>
  <c r="AP25" i="63"/>
  <c r="AQ13" i="63"/>
  <c r="AQ28" i="63" s="1"/>
  <c r="BA9" i="63"/>
  <c r="AQ22" i="63"/>
  <c r="AQ26" i="63"/>
  <c r="AS27" i="63"/>
  <c r="AN20" i="63"/>
  <c r="AZ6" i="63"/>
  <c r="AN24" i="63"/>
  <c r="AN23" i="63"/>
  <c r="AO20" i="63"/>
  <c r="AO24" i="63"/>
  <c r="AZ7" i="63"/>
  <c r="AV12" i="63"/>
  <c r="AO21" i="63"/>
  <c r="AT20" i="63"/>
  <c r="AZ12" i="63"/>
  <c r="AT23" i="63"/>
  <c r="AU21" i="63"/>
  <c r="AU25" i="63"/>
  <c r="AO13" i="63"/>
  <c r="AO28" i="63" s="1"/>
  <c r="BA7" i="63"/>
  <c r="AO22" i="63"/>
  <c r="AT21" i="63"/>
  <c r="AT25" i="63"/>
  <c r="BA13" i="63"/>
  <c r="BB13" i="63" s="1"/>
  <c r="AU22" i="63"/>
  <c r="AU13" i="63"/>
  <c r="AU28" i="63" s="1"/>
  <c r="AU26" i="63"/>
  <c r="AN22" i="63"/>
  <c r="AO23" i="63"/>
  <c r="AQ27" i="63"/>
  <c r="AM23" i="63"/>
  <c r="AZ11" i="63"/>
  <c r="AS20" i="63"/>
  <c r="AR20" i="63"/>
  <c r="AZ10" i="63"/>
  <c r="AM20" i="63"/>
  <c r="AZ5" i="63"/>
  <c r="AM24" i="63"/>
  <c r="AR21" i="63"/>
  <c r="AS22" i="63"/>
  <c r="AS13" i="63"/>
  <c r="AS28" i="63" s="1"/>
  <c r="BA11" i="63"/>
  <c r="AS26" i="63"/>
  <c r="AO27" i="63"/>
  <c r="AS25" i="63"/>
  <c r="AN13" i="63"/>
  <c r="AN28" i="63" s="1"/>
  <c r="BA6" i="63"/>
  <c r="AT24" i="63"/>
  <c r="AM22" i="63"/>
  <c r="AP13" i="63"/>
  <c r="AP28" i="63" s="1"/>
  <c r="AV8" i="63"/>
  <c r="AQ20" i="63"/>
  <c r="AN21" i="63"/>
  <c r="AR13" i="63"/>
  <c r="AR28" i="63" s="1"/>
  <c r="AR22" i="63"/>
  <c r="AV11" i="63"/>
  <c r="AL26" i="63"/>
  <c r="AL21" i="63"/>
  <c r="AP22" i="63"/>
  <c r="AL27" i="63"/>
  <c r="BA8" i="63"/>
  <c r="AR23" i="63"/>
  <c r="AM21" i="63"/>
  <c r="AR24" i="63"/>
  <c r="AT22" i="63"/>
  <c r="AO26" i="63"/>
  <c r="AQ24" i="63"/>
  <c r="AP24" i="63"/>
  <c r="AV5" i="63"/>
  <c r="AL20" i="63"/>
  <c r="AZ9" i="63"/>
  <c r="AL23" i="63"/>
  <c r="AN25" i="63"/>
  <c r="AN24" i="62"/>
  <c r="AN21" i="62"/>
  <c r="AN25" i="62"/>
  <c r="AT23" i="62"/>
  <c r="BA6" i="62"/>
  <c r="AN20" i="62"/>
  <c r="AM21" i="62"/>
  <c r="AW9" i="62"/>
  <c r="AW24" i="62" s="1"/>
  <c r="AL24" i="62"/>
  <c r="AM23" i="62"/>
  <c r="AT24" i="62"/>
  <c r="AL25" i="62"/>
  <c r="AW10" i="62"/>
  <c r="BA5" i="62"/>
  <c r="AM20" i="62"/>
  <c r="AL21" i="62"/>
  <c r="AW6" i="62"/>
  <c r="BA4" i="62"/>
  <c r="AW5" i="62"/>
  <c r="AW20" i="62" s="1"/>
  <c r="AL20" i="62"/>
  <c r="BC7" i="62"/>
  <c r="AM22" i="62"/>
  <c r="AM13" i="62"/>
  <c r="AM28" i="62" s="1"/>
  <c r="BB5" i="62"/>
  <c r="BC5" i="62" s="1"/>
  <c r="BB12" i="62"/>
  <c r="BC12" i="62" s="1"/>
  <c r="AT13" i="62"/>
  <c r="AT28" i="62" s="1"/>
  <c r="AT22" i="62"/>
  <c r="AN23" i="62"/>
  <c r="AW12" i="62"/>
  <c r="AL27" i="62"/>
  <c r="BB6" i="62"/>
  <c r="BC6" i="62" s="1"/>
  <c r="AN26" i="62"/>
  <c r="AN22" i="62"/>
  <c r="AN13" i="62"/>
  <c r="AN28" i="62" s="1"/>
  <c r="AL23" i="62"/>
  <c r="AW8" i="62"/>
  <c r="AW23" i="62" s="1"/>
  <c r="BC14" i="62"/>
  <c r="AL22" i="62"/>
  <c r="AL26" i="62"/>
  <c r="AW11" i="62"/>
  <c r="AM24" i="62"/>
  <c r="BA7" i="62"/>
  <c r="AO20" i="62"/>
  <c r="AT26" i="62"/>
  <c r="AT25" i="62"/>
  <c r="AR24" i="62"/>
  <c r="AR13" i="62"/>
  <c r="AR28" i="62" s="1"/>
  <c r="BC9" i="62"/>
  <c r="BA10" i="62"/>
  <c r="BB13" i="62"/>
  <c r="BC13" i="62" s="1"/>
  <c r="AO22" i="62"/>
  <c r="BB10" i="62"/>
  <c r="AQ22" i="62"/>
  <c r="AL13" i="62"/>
  <c r="AL28" i="62" s="1"/>
  <c r="AV20" i="62"/>
  <c r="AR21" i="62"/>
  <c r="AV24" i="62"/>
  <c r="BB8" i="62"/>
  <c r="BC8" i="62" s="1"/>
  <c r="AQ13" i="62"/>
  <c r="AQ28" i="62" s="1"/>
  <c r="BA14" i="62"/>
  <c r="AS22" i="62"/>
  <c r="BB11" i="62"/>
  <c r="BC11" i="62" s="1"/>
  <c r="AQ20" i="62"/>
  <c r="AU22" i="62"/>
  <c r="AU26" i="62"/>
  <c r="BB4" i="62"/>
  <c r="BC4" i="62" s="1"/>
  <c r="AW7" i="62"/>
  <c r="AS25" i="59"/>
  <c r="AM13" i="59"/>
  <c r="AM28" i="59" s="1"/>
  <c r="AU26" i="59"/>
  <c r="AZ13" i="59"/>
  <c r="AU23" i="59"/>
  <c r="AU21" i="59"/>
  <c r="AT13" i="59"/>
  <c r="AT28" i="59" s="1"/>
  <c r="AT27" i="59"/>
  <c r="AT26" i="59"/>
  <c r="AT25" i="59"/>
  <c r="AS21" i="59"/>
  <c r="AS20" i="59"/>
  <c r="AR13" i="59"/>
  <c r="AR28" i="59" s="1"/>
  <c r="AR27" i="59"/>
  <c r="AR21" i="59"/>
  <c r="AR20" i="59"/>
  <c r="AQ25" i="59"/>
  <c r="AQ24" i="59"/>
  <c r="AQ21" i="59"/>
  <c r="AQ20" i="59"/>
  <c r="AQ23" i="59"/>
  <c r="AP13" i="59"/>
  <c r="AP28" i="59" s="1"/>
  <c r="AP27" i="59"/>
  <c r="AP26" i="59"/>
  <c r="BA8" i="59"/>
  <c r="AP25" i="59"/>
  <c r="AO24" i="59"/>
  <c r="AO23" i="59"/>
  <c r="AO21" i="59"/>
  <c r="AN24" i="59"/>
  <c r="AN13" i="59"/>
  <c r="AN28" i="59" s="1"/>
  <c r="AN23" i="59"/>
  <c r="AN26" i="59"/>
  <c r="AN22" i="59"/>
  <c r="AN25" i="59"/>
  <c r="AN21" i="59"/>
  <c r="AM23" i="59"/>
  <c r="AM21" i="59"/>
  <c r="AM24" i="59"/>
  <c r="AL26" i="59"/>
  <c r="AL24" i="59"/>
  <c r="AL22" i="59"/>
  <c r="AL23" i="59"/>
  <c r="AS22" i="59"/>
  <c r="BA11" i="59"/>
  <c r="BB11" i="59" s="1"/>
  <c r="AS26" i="59"/>
  <c r="AS13" i="59"/>
  <c r="AS28" i="59" s="1"/>
  <c r="AV4" i="59"/>
  <c r="AL20" i="59"/>
  <c r="AL21" i="59"/>
  <c r="AV6" i="59"/>
  <c r="AU24" i="59"/>
  <c r="BA13" i="59"/>
  <c r="AU13" i="59"/>
  <c r="AU28" i="59" s="1"/>
  <c r="AP24" i="59"/>
  <c r="AP23" i="59"/>
  <c r="AV5" i="59"/>
  <c r="AZ8" i="59"/>
  <c r="AP20" i="59"/>
  <c r="AS27" i="59"/>
  <c r="AV12" i="59"/>
  <c r="AO13" i="59"/>
  <c r="AO28" i="59" s="1"/>
  <c r="AO22" i="59"/>
  <c r="BA7" i="59"/>
  <c r="AP21" i="59"/>
  <c r="AT24" i="59"/>
  <c r="AT20" i="59"/>
  <c r="AZ12" i="59"/>
  <c r="AV9" i="59"/>
  <c r="AS23" i="59"/>
  <c r="AV8" i="59"/>
  <c r="BA5" i="59"/>
  <c r="BB5" i="59" s="1"/>
  <c r="AQ13" i="59"/>
  <c r="AQ28" i="59" s="1"/>
  <c r="BA9" i="59"/>
  <c r="BB9" i="59" s="1"/>
  <c r="AO26" i="59"/>
  <c r="BA12" i="59"/>
  <c r="AR26" i="59"/>
  <c r="AQ26" i="59"/>
  <c r="BA4" i="59"/>
  <c r="BB4" i="59" s="1"/>
  <c r="AV7" i="59"/>
  <c r="AL13" i="59"/>
  <c r="AL28" i="59" s="1"/>
  <c r="AO25" i="59"/>
  <c r="AT22" i="59"/>
  <c r="AV10" i="59"/>
  <c r="AL25" i="59"/>
  <c r="AU25" i="59"/>
  <c r="AQ27" i="59"/>
  <c r="AV11" i="59"/>
  <c r="AM22" i="59"/>
  <c r="AR24" i="59"/>
  <c r="AT21" i="59"/>
  <c r="AR25" i="59"/>
  <c r="AS24" i="59"/>
  <c r="AP22" i="59"/>
  <c r="AN20" i="59"/>
  <c r="AZ6" i="59"/>
  <c r="BA10" i="59"/>
  <c r="BB10" i="59" s="1"/>
  <c r="AM20" i="59"/>
  <c r="AQ22" i="59"/>
  <c r="AU20" i="59"/>
  <c r="BA6" i="59"/>
  <c r="AT23" i="59"/>
  <c r="AL27" i="59"/>
  <c r="AM25" i="59"/>
  <c r="AR22" i="59"/>
  <c r="AO27" i="59"/>
  <c r="AR23" i="59"/>
  <c r="AU22" i="59"/>
  <c r="AO20" i="59"/>
  <c r="AZ7" i="59"/>
  <c r="AM26" i="59"/>
  <c r="O50" i="66" l="1"/>
  <c r="BB5" i="63"/>
  <c r="BB12" i="63"/>
  <c r="BB10" i="63"/>
  <c r="BB7" i="63"/>
  <c r="AV24" i="63"/>
  <c r="BB4" i="63"/>
  <c r="AV23" i="63"/>
  <c r="AV26" i="63"/>
  <c r="AV25" i="63"/>
  <c r="BB8" i="63"/>
  <c r="AV21" i="63"/>
  <c r="BB11" i="63"/>
  <c r="BB6" i="63"/>
  <c r="BB9" i="63"/>
  <c r="AV20" i="63"/>
  <c r="AV27" i="63"/>
  <c r="AV22" i="63"/>
  <c r="AV13" i="63"/>
  <c r="AV28" i="63" s="1"/>
  <c r="AW21" i="62"/>
  <c r="AW22" i="62"/>
  <c r="AW13" i="62"/>
  <c r="AW28" i="62" s="1"/>
  <c r="AW27" i="62"/>
  <c r="BC10" i="62"/>
  <c r="AW26" i="62"/>
  <c r="AW25" i="62"/>
  <c r="BB7" i="59"/>
  <c r="BB13" i="59"/>
  <c r="BB12" i="59"/>
  <c r="BB8" i="59"/>
  <c r="BB6" i="59"/>
  <c r="AV24" i="59"/>
  <c r="AV21" i="59"/>
  <c r="AV23" i="59"/>
  <c r="AV27" i="59"/>
  <c r="AV26" i="59"/>
  <c r="AV25" i="59"/>
  <c r="AV22" i="59"/>
  <c r="AV13" i="59"/>
  <c r="AV28" i="59" s="1"/>
  <c r="AV20" i="59"/>
  <c r="AI66" i="5" l="1"/>
  <c r="AG66" i="5"/>
  <c r="AI65" i="5"/>
  <c r="AG65" i="5"/>
  <c r="AI64" i="5"/>
  <c r="AG64" i="5"/>
  <c r="AI63" i="5"/>
  <c r="AG63" i="5"/>
  <c r="AI62" i="5"/>
  <c r="AG62" i="5"/>
  <c r="AI61" i="5"/>
  <c r="AG61" i="5"/>
  <c r="AI60" i="5"/>
  <c r="AG60" i="5"/>
  <c r="AI59" i="5"/>
  <c r="AG59" i="5"/>
  <c r="AI54" i="5"/>
  <c r="AG54" i="5"/>
  <c r="AI53" i="5"/>
  <c r="AG53" i="5"/>
  <c r="AI52" i="5"/>
  <c r="AG52" i="5"/>
  <c r="AI51" i="5"/>
  <c r="AG51" i="5"/>
  <c r="AI50" i="5"/>
  <c r="AG50" i="5"/>
  <c r="AI49" i="5"/>
  <c r="AG49" i="5"/>
  <c r="AI48" i="5"/>
  <c r="AG48" i="5"/>
  <c r="AI47" i="5"/>
  <c r="AG47" i="5"/>
  <c r="AI43" i="5"/>
  <c r="AG43" i="5"/>
  <c r="AI42" i="5"/>
  <c r="AG42" i="5"/>
  <c r="AI41" i="5"/>
  <c r="AG41" i="5"/>
  <c r="AI40" i="5"/>
  <c r="AG40" i="5"/>
  <c r="AI39" i="5"/>
  <c r="AG39" i="5"/>
  <c r="AI38" i="5"/>
  <c r="AG38" i="5"/>
  <c r="AI37" i="5"/>
  <c r="AG37" i="5"/>
  <c r="AI36" i="5"/>
  <c r="AG36" i="5"/>
  <c r="AI32" i="5"/>
  <c r="AG32" i="5"/>
  <c r="AI31" i="5"/>
  <c r="AG31" i="5"/>
  <c r="AI30" i="5"/>
  <c r="AG30" i="5"/>
  <c r="AI29" i="5"/>
  <c r="AG29" i="5"/>
  <c r="AI28" i="5"/>
  <c r="AG28" i="5"/>
  <c r="AI27" i="5"/>
  <c r="AG27" i="5"/>
  <c r="AI26" i="5"/>
  <c r="AG26" i="5"/>
  <c r="AI25" i="5"/>
  <c r="AG25" i="5"/>
  <c r="AI21" i="5"/>
  <c r="AG21" i="5"/>
  <c r="AI20" i="5"/>
  <c r="AG20" i="5"/>
  <c r="AI19" i="5"/>
  <c r="AG19" i="5"/>
  <c r="AI18" i="5"/>
  <c r="AG18" i="5"/>
  <c r="AI17" i="5"/>
  <c r="AG17" i="5"/>
  <c r="AI16" i="5"/>
  <c r="AG16" i="5"/>
  <c r="AI15" i="5"/>
  <c r="AG15" i="5"/>
  <c r="AI14" i="5"/>
  <c r="AG14" i="5"/>
  <c r="AR11" i="5"/>
  <c r="AQ11" i="5"/>
  <c r="AP11" i="5"/>
  <c r="AO11" i="5"/>
  <c r="AN11" i="5"/>
  <c r="AM11" i="5"/>
  <c r="AL11" i="5"/>
  <c r="AR10" i="5"/>
  <c r="AQ10" i="5"/>
  <c r="AP10" i="5"/>
  <c r="AO10" i="5"/>
  <c r="AN10" i="5"/>
  <c r="AM10" i="5"/>
  <c r="AL10" i="5"/>
  <c r="AI10" i="5"/>
  <c r="AG10" i="5"/>
  <c r="AR9" i="5"/>
  <c r="AQ9" i="5"/>
  <c r="AP9" i="5"/>
  <c r="AO9" i="5"/>
  <c r="AN9" i="5"/>
  <c r="AM9" i="5"/>
  <c r="AL9" i="5"/>
  <c r="AI9" i="5"/>
  <c r="AG9" i="5"/>
  <c r="AR8" i="5"/>
  <c r="AQ8" i="5"/>
  <c r="AP8" i="5"/>
  <c r="AO8" i="5"/>
  <c r="AN8" i="5"/>
  <c r="AM8" i="5"/>
  <c r="AL8" i="5"/>
  <c r="AI8" i="5"/>
  <c r="AG8" i="5"/>
  <c r="AR7" i="5"/>
  <c r="AQ7" i="5"/>
  <c r="AP7" i="5"/>
  <c r="AO7" i="5"/>
  <c r="AN7" i="5"/>
  <c r="AM7" i="5"/>
  <c r="AL7" i="5"/>
  <c r="AI7" i="5"/>
  <c r="AG7" i="5"/>
  <c r="AR6" i="5"/>
  <c r="AQ6" i="5"/>
  <c r="AP6" i="5"/>
  <c r="AO6" i="5"/>
  <c r="AN6" i="5"/>
  <c r="AM6" i="5"/>
  <c r="AL6" i="5"/>
  <c r="AI6" i="5"/>
  <c r="AG6" i="5"/>
  <c r="AR5" i="5"/>
  <c r="AQ5" i="5"/>
  <c r="AP5" i="5"/>
  <c r="AO5" i="5"/>
  <c r="AN5" i="5"/>
  <c r="AM5" i="5"/>
  <c r="AL5" i="5"/>
  <c r="AI5" i="5"/>
  <c r="AG5" i="5"/>
  <c r="AR4" i="5"/>
  <c r="AQ4" i="5"/>
  <c r="AP4" i="5"/>
  <c r="AO4" i="5"/>
  <c r="AN4" i="5"/>
  <c r="AM4" i="5"/>
  <c r="AL4" i="5"/>
  <c r="AI4" i="5"/>
  <c r="AG4" i="5"/>
  <c r="AI3" i="5"/>
  <c r="AG3" i="5"/>
  <c r="G57" i="46"/>
  <c r="G47" i="46"/>
  <c r="G30" i="46"/>
  <c r="G17" i="46"/>
  <c r="G6" i="46"/>
  <c r="AI110" i="36"/>
  <c r="AG110" i="36"/>
  <c r="AI109" i="36"/>
  <c r="AG109" i="36"/>
  <c r="AI108" i="36"/>
  <c r="AG108" i="36"/>
  <c r="AI107" i="36"/>
  <c r="AG107" i="36"/>
  <c r="AI106" i="36"/>
  <c r="AG106" i="36"/>
  <c r="AI105" i="36"/>
  <c r="AG105" i="36"/>
  <c r="AI104" i="36"/>
  <c r="AG104" i="36"/>
  <c r="AI103" i="36"/>
  <c r="AG103" i="36"/>
  <c r="AI102" i="36"/>
  <c r="AG102" i="36"/>
  <c r="AI99" i="36"/>
  <c r="AG99" i="36"/>
  <c r="AI98" i="36"/>
  <c r="AG98" i="36"/>
  <c r="AI97" i="36"/>
  <c r="AG97" i="36"/>
  <c r="AI96" i="36"/>
  <c r="AG96" i="36"/>
  <c r="AI95" i="36"/>
  <c r="AG95" i="36"/>
  <c r="AI94" i="36"/>
  <c r="AG94" i="36"/>
  <c r="AI93" i="36"/>
  <c r="AG93" i="36"/>
  <c r="AI92" i="36"/>
  <c r="AG92" i="36"/>
  <c r="AI91" i="36"/>
  <c r="AG91" i="36"/>
  <c r="AI88" i="36"/>
  <c r="AG88" i="36"/>
  <c r="AI87" i="36"/>
  <c r="AG87" i="36"/>
  <c r="AI86" i="36"/>
  <c r="AG86" i="36"/>
  <c r="AI85" i="36"/>
  <c r="AG85" i="36"/>
  <c r="AI84" i="36"/>
  <c r="AG84" i="36"/>
  <c r="AI83" i="36"/>
  <c r="AG83" i="36"/>
  <c r="AI82" i="36"/>
  <c r="AG82" i="36"/>
  <c r="AI81" i="36"/>
  <c r="AG81" i="36"/>
  <c r="AI80" i="36"/>
  <c r="AG80" i="36"/>
  <c r="AI77" i="36"/>
  <c r="AG77" i="36"/>
  <c r="AI76" i="36"/>
  <c r="AG76" i="36"/>
  <c r="AI75" i="36"/>
  <c r="AG75" i="36"/>
  <c r="AI74" i="36"/>
  <c r="AG74" i="36"/>
  <c r="AI73" i="36"/>
  <c r="AG73" i="36"/>
  <c r="AI72" i="36"/>
  <c r="AG72" i="36"/>
  <c r="AI71" i="36"/>
  <c r="AG71" i="36"/>
  <c r="AI70" i="36"/>
  <c r="AG70" i="36"/>
  <c r="AI69" i="36"/>
  <c r="AG69" i="36"/>
  <c r="AI66" i="36"/>
  <c r="AG66" i="36"/>
  <c r="AI65" i="36"/>
  <c r="AG65" i="36"/>
  <c r="AI64" i="36"/>
  <c r="AG64" i="36"/>
  <c r="AI63" i="36"/>
  <c r="AG63" i="36"/>
  <c r="AI62" i="36"/>
  <c r="AG62" i="36"/>
  <c r="AI61" i="36"/>
  <c r="AG61" i="36"/>
  <c r="AI60" i="36"/>
  <c r="AG60" i="36"/>
  <c r="AI59" i="36"/>
  <c r="AG59" i="36"/>
  <c r="AI58" i="36"/>
  <c r="AG58" i="36"/>
  <c r="AI55" i="36"/>
  <c r="AG55" i="36"/>
  <c r="AI54" i="36"/>
  <c r="AG54" i="36"/>
  <c r="AI53" i="36"/>
  <c r="AG53" i="36"/>
  <c r="AI52" i="36"/>
  <c r="AG52" i="36"/>
  <c r="AI51" i="36"/>
  <c r="AG51" i="36"/>
  <c r="AI50" i="36"/>
  <c r="AG50" i="36"/>
  <c r="AI49" i="36"/>
  <c r="AG49" i="36"/>
  <c r="AI48" i="36"/>
  <c r="AG48" i="36"/>
  <c r="AI47" i="36"/>
  <c r="AG47" i="36"/>
  <c r="AI44" i="36"/>
  <c r="AG44" i="36"/>
  <c r="AI43" i="36"/>
  <c r="AG43" i="36"/>
  <c r="AI42" i="36"/>
  <c r="AG42" i="36"/>
  <c r="AI41" i="36"/>
  <c r="AG41" i="36"/>
  <c r="AI40" i="36"/>
  <c r="AG40" i="36"/>
  <c r="AI39" i="36"/>
  <c r="AG39" i="36"/>
  <c r="AI38" i="36"/>
  <c r="AG38" i="36"/>
  <c r="AI37" i="36"/>
  <c r="AG37" i="36"/>
  <c r="AI36" i="36"/>
  <c r="AG36" i="36"/>
  <c r="AI33" i="36"/>
  <c r="AG33" i="36"/>
  <c r="AI32" i="36"/>
  <c r="AG32" i="36"/>
  <c r="AI31" i="36"/>
  <c r="AG31" i="36"/>
  <c r="AI30" i="36"/>
  <c r="AG30" i="36"/>
  <c r="AI29" i="36"/>
  <c r="AG29" i="36"/>
  <c r="AV28" i="36"/>
  <c r="AU28" i="36"/>
  <c r="AT28" i="36"/>
  <c r="AS28" i="36"/>
  <c r="AR28" i="36"/>
  <c r="AQ28" i="36"/>
  <c r="AP28" i="36"/>
  <c r="AO28" i="36"/>
  <c r="AN28" i="36"/>
  <c r="AM28" i="36"/>
  <c r="AL28" i="36"/>
  <c r="AI28" i="36"/>
  <c r="AG28" i="36"/>
  <c r="AV27" i="36"/>
  <c r="AU27" i="36"/>
  <c r="AT27" i="36"/>
  <c r="AS27" i="36"/>
  <c r="AR27" i="36"/>
  <c r="AQ27" i="36"/>
  <c r="AP27" i="36"/>
  <c r="AO27" i="36"/>
  <c r="AN27" i="36"/>
  <c r="AM27" i="36"/>
  <c r="AL27" i="36"/>
  <c r="AI27" i="36"/>
  <c r="AG27" i="36"/>
  <c r="AV26" i="36"/>
  <c r="AU26" i="36"/>
  <c r="AT26" i="36"/>
  <c r="AS26" i="36"/>
  <c r="AR26" i="36"/>
  <c r="AQ26" i="36"/>
  <c r="AP26" i="36"/>
  <c r="AO26" i="36"/>
  <c r="AN26" i="36"/>
  <c r="AM26" i="36"/>
  <c r="AL26" i="36"/>
  <c r="AI26" i="36"/>
  <c r="AG26" i="36"/>
  <c r="BB25" i="36"/>
  <c r="AZ25" i="36"/>
  <c r="AV25" i="36"/>
  <c r="AU25" i="36"/>
  <c r="AT25" i="36"/>
  <c r="AS25" i="36"/>
  <c r="AR25" i="36"/>
  <c r="AQ25" i="36"/>
  <c r="AP25" i="36"/>
  <c r="AO25" i="36"/>
  <c r="AN25" i="36"/>
  <c r="AM25" i="36"/>
  <c r="AL25" i="36"/>
  <c r="AI25" i="36"/>
  <c r="AG25" i="36"/>
  <c r="BB24" i="36"/>
  <c r="AZ24" i="36"/>
  <c r="AV24" i="36"/>
  <c r="AU24" i="36"/>
  <c r="AT24" i="36"/>
  <c r="AS24" i="36"/>
  <c r="AR24" i="36"/>
  <c r="AQ24" i="36"/>
  <c r="AP24" i="36"/>
  <c r="AO24" i="36"/>
  <c r="AN24" i="36"/>
  <c r="AM24" i="36"/>
  <c r="AL24" i="36"/>
  <c r="BB23" i="36"/>
  <c r="AZ23" i="36"/>
  <c r="AV23" i="36"/>
  <c r="AU23" i="36"/>
  <c r="AT23" i="36"/>
  <c r="AS23" i="36"/>
  <c r="AR23" i="36"/>
  <c r="AQ23" i="36"/>
  <c r="AP23" i="36"/>
  <c r="AO23" i="36"/>
  <c r="AN23" i="36"/>
  <c r="AM23" i="36"/>
  <c r="AL23" i="36"/>
  <c r="BB22" i="36"/>
  <c r="AZ22" i="36"/>
  <c r="AV22" i="36"/>
  <c r="AU22" i="36"/>
  <c r="AT22" i="36"/>
  <c r="AS22" i="36"/>
  <c r="AR22" i="36"/>
  <c r="AQ22" i="36"/>
  <c r="AP22" i="36"/>
  <c r="AO22" i="36"/>
  <c r="AN22" i="36"/>
  <c r="AM22" i="36"/>
  <c r="AL22" i="36"/>
  <c r="AI22" i="36"/>
  <c r="AG22" i="36"/>
  <c r="BB21" i="36"/>
  <c r="AZ21" i="36"/>
  <c r="AV21" i="36"/>
  <c r="AU21" i="36"/>
  <c r="AT21" i="36"/>
  <c r="AS21" i="36"/>
  <c r="AR21" i="36"/>
  <c r="AQ21" i="36"/>
  <c r="AP21" i="36"/>
  <c r="AO21" i="36"/>
  <c r="AN21" i="36"/>
  <c r="AM21" i="36"/>
  <c r="AL21" i="36"/>
  <c r="AI21" i="36"/>
  <c r="AG21" i="36"/>
  <c r="BB20" i="36"/>
  <c r="AZ20" i="36"/>
  <c r="AV20" i="36"/>
  <c r="AU20" i="36"/>
  <c r="AT20" i="36"/>
  <c r="AS20" i="36"/>
  <c r="AR20" i="36"/>
  <c r="AQ20" i="36"/>
  <c r="AP20" i="36"/>
  <c r="AO20" i="36"/>
  <c r="AN20" i="36"/>
  <c r="AM20" i="36"/>
  <c r="AL20" i="36"/>
  <c r="AI20" i="36"/>
  <c r="AG20" i="36"/>
  <c r="BB19" i="36"/>
  <c r="AZ19" i="36"/>
  <c r="AI19" i="36"/>
  <c r="AG19" i="36"/>
  <c r="BB18" i="36"/>
  <c r="AZ18" i="36"/>
  <c r="AI18" i="36"/>
  <c r="AG18" i="36"/>
  <c r="BB17" i="36"/>
  <c r="AZ17" i="36"/>
  <c r="AI17" i="36"/>
  <c r="AG17" i="36"/>
  <c r="BB16" i="36"/>
  <c r="AZ16" i="36"/>
  <c r="AI16" i="36"/>
  <c r="AG16" i="36"/>
  <c r="AI15" i="36"/>
  <c r="AG15" i="36"/>
  <c r="AI14" i="36"/>
  <c r="AG14" i="36"/>
  <c r="BB13" i="36"/>
  <c r="BA13" i="36"/>
  <c r="AZ13" i="36"/>
  <c r="AV13" i="36"/>
  <c r="AU13" i="36"/>
  <c r="AT13" i="36"/>
  <c r="AS13" i="36"/>
  <c r="AR13" i="36"/>
  <c r="AQ13" i="36"/>
  <c r="AP13" i="36"/>
  <c r="AO13" i="36"/>
  <c r="AN13" i="36"/>
  <c r="AM13" i="36"/>
  <c r="AL13" i="36"/>
  <c r="BB12" i="36"/>
  <c r="BA12" i="36"/>
  <c r="AZ12" i="36"/>
  <c r="AV12" i="36"/>
  <c r="AU12" i="36"/>
  <c r="AT12" i="36"/>
  <c r="AS12" i="36"/>
  <c r="AR12" i="36"/>
  <c r="AQ12" i="36"/>
  <c r="AP12" i="36"/>
  <c r="AO12" i="36"/>
  <c r="AN12" i="36"/>
  <c r="AM12" i="36"/>
  <c r="AL12" i="36"/>
  <c r="BB11" i="36"/>
  <c r="BA11" i="36"/>
  <c r="AZ11" i="36"/>
  <c r="AV11" i="36"/>
  <c r="AU11" i="36"/>
  <c r="AT11" i="36"/>
  <c r="AS11" i="36"/>
  <c r="AR11" i="36"/>
  <c r="AQ11" i="36"/>
  <c r="AP11" i="36"/>
  <c r="AO11" i="36"/>
  <c r="AN11" i="36"/>
  <c r="AM11" i="36"/>
  <c r="AL11" i="36"/>
  <c r="AI11" i="36"/>
  <c r="AG11" i="36"/>
  <c r="BB10" i="36"/>
  <c r="BA10" i="36"/>
  <c r="AZ10" i="36"/>
  <c r="AV10" i="36"/>
  <c r="AU10" i="36"/>
  <c r="AT10" i="36"/>
  <c r="AS10" i="36"/>
  <c r="AR10" i="36"/>
  <c r="AQ10" i="36"/>
  <c r="AP10" i="36"/>
  <c r="AO10" i="36"/>
  <c r="AN10" i="36"/>
  <c r="AM10" i="36"/>
  <c r="AL10" i="36"/>
  <c r="AI10" i="36"/>
  <c r="AG10" i="36"/>
  <c r="BB9" i="36"/>
  <c r="BA9" i="36"/>
  <c r="AZ9" i="36"/>
  <c r="AV9" i="36"/>
  <c r="AU9" i="36"/>
  <c r="AT9" i="36"/>
  <c r="AS9" i="36"/>
  <c r="AR9" i="36"/>
  <c r="AQ9" i="36"/>
  <c r="AP9" i="36"/>
  <c r="AO9" i="36"/>
  <c r="AN9" i="36"/>
  <c r="AM9" i="36"/>
  <c r="AL9" i="36"/>
  <c r="AI9" i="36"/>
  <c r="AG9" i="36"/>
  <c r="BB8" i="36"/>
  <c r="BA8" i="36"/>
  <c r="AZ8" i="36"/>
  <c r="AV8" i="36"/>
  <c r="AU8" i="36"/>
  <c r="AT8" i="36"/>
  <c r="AS8" i="36"/>
  <c r="AR8" i="36"/>
  <c r="AQ8" i="36"/>
  <c r="AP8" i="36"/>
  <c r="AO8" i="36"/>
  <c r="AN8" i="36"/>
  <c r="AM8" i="36"/>
  <c r="AL8" i="36"/>
  <c r="AI8" i="36"/>
  <c r="AG8" i="36"/>
  <c r="BB7" i="36"/>
  <c r="BA7" i="36"/>
  <c r="AZ7" i="36"/>
  <c r="AV7" i="36"/>
  <c r="AU7" i="36"/>
  <c r="AT7" i="36"/>
  <c r="AS7" i="36"/>
  <c r="AR7" i="36"/>
  <c r="AQ7" i="36"/>
  <c r="AP7" i="36"/>
  <c r="AO7" i="36"/>
  <c r="AN7" i="36"/>
  <c r="AM7" i="36"/>
  <c r="AL7" i="36"/>
  <c r="AI7" i="36"/>
  <c r="AG7" i="36"/>
  <c r="BB6" i="36"/>
  <c r="BA6" i="36"/>
  <c r="AZ6" i="36"/>
  <c r="AV6" i="36"/>
  <c r="AU6" i="36"/>
  <c r="AT6" i="36"/>
  <c r="AS6" i="36"/>
  <c r="AR6" i="36"/>
  <c r="AQ6" i="36"/>
  <c r="AP6" i="36"/>
  <c r="AO6" i="36"/>
  <c r="AN6" i="36"/>
  <c r="AM6" i="36"/>
  <c r="AL6" i="36"/>
  <c r="AI6" i="36"/>
  <c r="AG6" i="36"/>
  <c r="BB5" i="36"/>
  <c r="BA5" i="36"/>
  <c r="AZ5" i="36"/>
  <c r="AV5" i="36"/>
  <c r="AU5" i="36"/>
  <c r="AT5" i="36"/>
  <c r="AS5" i="36"/>
  <c r="AR5" i="36"/>
  <c r="AQ5" i="36"/>
  <c r="AP5" i="36"/>
  <c r="AO5" i="36"/>
  <c r="AN5" i="36"/>
  <c r="AM5" i="36"/>
  <c r="AL5" i="36"/>
  <c r="AI5" i="36"/>
  <c r="AG5" i="36"/>
  <c r="BB4" i="36"/>
  <c r="BA4" i="36"/>
  <c r="AZ4" i="36"/>
  <c r="AV4" i="36"/>
  <c r="AU4" i="36"/>
  <c r="AT4" i="36"/>
  <c r="AS4" i="36"/>
  <c r="AR4" i="36"/>
  <c r="AQ4" i="36"/>
  <c r="AP4" i="36"/>
  <c r="AO4" i="36"/>
  <c r="AN4" i="36"/>
  <c r="AM4" i="36"/>
  <c r="AL4" i="36"/>
  <c r="AI4" i="36"/>
  <c r="AG4" i="36"/>
  <c r="AI3" i="36"/>
  <c r="AG3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J4" authorId="0" shapeId="0" xr:uid="{0D710959-209B-478F-B8EE-2F256AF6B522}">
      <text>
        <r>
          <rPr>
            <b/>
            <sz val="9"/>
            <color indexed="81"/>
            <rFont val="Tahoma"/>
            <family val="2"/>
          </rPr>
          <t>APARECEN 33 EN LISTA PORQUE 1 ASISTIO POR GARANTIA NO ERA CITA DE PRIMERA VEZ</t>
        </r>
      </text>
    </comment>
    <comment ref="N4" authorId="0" shapeId="0" xr:uid="{46FAFA09-D885-4CC8-BFD8-AAB15CBF8943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24 PORQUE UNA ES MODELO </t>
        </r>
      </text>
    </comment>
    <comment ref="C8" authorId="0" shapeId="0" xr:uid="{668BC787-A6B7-4E62-BCC3-1641DF078B8B}">
      <text>
        <r>
          <rPr>
            <b/>
            <sz val="9"/>
            <color indexed="81"/>
            <rFont val="Tahoma"/>
            <family val="2"/>
          </rPr>
          <t xml:space="preserve">descuento 2 de sandy la otra reagendo para el otro dia </t>
        </r>
      </text>
    </comment>
    <comment ref="D8" authorId="0" shapeId="0" xr:uid="{985B6349-6039-4A1A-B677-CE16CC3AB646}">
      <text>
        <r>
          <rPr>
            <b/>
            <sz val="9"/>
            <color indexed="81"/>
            <rFont val="Tahoma"/>
            <family val="2"/>
          </rPr>
          <t xml:space="preserve">descuento 1 de routh la otra tenia puntos en la cabeza </t>
        </r>
      </text>
    </comment>
    <comment ref="E8" authorId="0" shapeId="0" xr:uid="{2F2DADC7-0A3A-4C95-93BD-A62350818774}">
      <text>
        <r>
          <rPr>
            <sz val="9"/>
            <color indexed="81"/>
            <rFont val="Tahoma"/>
            <family val="2"/>
          </rPr>
          <t xml:space="preserve">1 loreny
2 cherlys
1 sin estilista 
ese dia trabajaron solo 3 estilistas 
</t>
        </r>
      </text>
    </comment>
    <comment ref="F8" authorId="0" shapeId="0" xr:uid="{22A910E9-F7EC-4154-99F4-DCAF698644CF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3 sin estilista asignado por falta de personal 
2 de luz ASISTIERON JUNTAS </t>
        </r>
      </text>
    </comment>
    <comment ref="G8" authorId="0" shapeId="0" xr:uid="{77B93F12-D700-48C1-9FA0-7D928D41FD38}">
      <text>
        <r>
          <rPr>
            <b/>
            <sz val="9"/>
            <color indexed="81"/>
            <rFont val="Tahoma"/>
            <family val="2"/>
          </rPr>
          <t xml:space="preserve">1 AMY  DESCEUNTO
1 CHERLYS 
</t>
        </r>
      </text>
    </comment>
    <comment ref="O8" authorId="0" shapeId="0" xr:uid="{4643A836-1075-4256-805B-DD4DDD280C30}">
      <text>
        <r>
          <rPr>
            <b/>
            <sz val="9"/>
            <color indexed="81"/>
            <rFont val="Tahoma"/>
            <family val="2"/>
          </rPr>
          <t>LUZ descuento</t>
        </r>
      </text>
    </comment>
    <comment ref="P8" authorId="0" shapeId="0" xr:uid="{2927CCE5-F56B-4BDF-A672-296D0B9DB5FE}">
      <text>
        <r>
          <rPr>
            <b/>
            <sz val="9"/>
            <color indexed="81"/>
            <rFont val="Tahoma"/>
            <family val="2"/>
          </rPr>
          <t>2 alvis 1 descuento 
1 lorenis</t>
        </r>
      </text>
    </comment>
    <comment ref="Q8" authorId="0" shapeId="0" xr:uid="{7A0E4619-F744-46FC-98B0-D9A14E8BD5E6}">
      <text>
        <r>
          <rPr>
            <b/>
            <sz val="9"/>
            <color indexed="81"/>
            <rFont val="Tahoma"/>
            <family val="2"/>
          </rPr>
          <t>1 roxana</t>
        </r>
      </text>
    </comment>
    <comment ref="R8" authorId="0" shapeId="0" xr:uid="{1E6442AA-3C64-457F-94CD-E8DCBBD7DE84}">
      <text>
        <r>
          <rPr>
            <b/>
            <sz val="9"/>
            <color indexed="81"/>
            <rFont val="Tahoma"/>
            <family val="2"/>
          </rPr>
          <t>2 sin estilista asignado</t>
        </r>
      </text>
    </comment>
    <comment ref="W8" authorId="0" shapeId="0" xr:uid="{0C436120-00A2-4924-B2E8-9C2182C643DD}">
      <text>
        <r>
          <rPr>
            <sz val="9"/>
            <color indexed="81"/>
            <rFont val="Tahoma"/>
            <family val="2"/>
          </rPr>
          <t xml:space="preserve">1 LORENI
1 LUZ SE RERIRO POR FFLTA DE TINTE 
</t>
        </r>
      </text>
    </comment>
    <comment ref="X8" authorId="0" shapeId="0" xr:uid="{3D614B6A-D1C3-4CDA-96C4-BE10ECCAC7D0}">
      <text>
        <r>
          <rPr>
            <b/>
            <sz val="9"/>
            <color indexed="81"/>
            <rFont val="Tahoma"/>
            <family val="2"/>
          </rPr>
          <t>1 ALVIS</t>
        </r>
      </text>
    </comment>
    <comment ref="Z8" authorId="0" shapeId="0" xr:uid="{DE2A7ACA-19F2-4C6B-8FE1-838CC941EAFA}">
      <text>
        <r>
          <rPr>
            <b/>
            <sz val="9"/>
            <color indexed="81"/>
            <rFont val="Tahoma"/>
            <family val="2"/>
          </rPr>
          <t>2 alvis
1 sandy</t>
        </r>
      </text>
    </comment>
    <comment ref="AA8" authorId="0" shapeId="0" xr:uid="{9D86B508-6405-4DDC-972E-EA3CA9A74304}">
      <text>
        <r>
          <rPr>
            <b/>
            <sz val="9"/>
            <color indexed="81"/>
            <rFont val="Tahoma"/>
            <family val="2"/>
          </rPr>
          <t xml:space="preserve">1 cherly , la cliente se hanria color pero despues que se compro el tinte se fue </t>
        </r>
      </text>
    </comment>
    <comment ref="AB8" authorId="0" shapeId="0" xr:uid="{C0639DC9-6502-417D-967E-F59C42D7E627}">
      <text>
        <r>
          <rPr>
            <b/>
            <sz val="9"/>
            <color indexed="81"/>
            <rFont val="Tahoma"/>
            <family val="2"/>
          </rPr>
          <t>1 
1 sin estilistas</t>
        </r>
      </text>
    </comment>
    <comment ref="AC8" authorId="0" shapeId="0" xr:uid="{0EFD7F47-C972-4080-883C-518D9C974239}">
      <text>
        <r>
          <rPr>
            <b/>
            <sz val="9"/>
            <color indexed="81"/>
            <rFont val="Tahoma"/>
            <family val="2"/>
          </rPr>
          <t>1 loreni
1 roxana
1 cherly</t>
        </r>
      </text>
    </comment>
    <comment ref="U17" authorId="0" shapeId="0" xr:uid="{78B68397-C038-44C4-BBBC-FC614492EDE6}">
      <text>
        <r>
          <rPr>
            <b/>
            <sz val="9"/>
            <color indexed="81"/>
            <rFont val="Tahoma"/>
            <family val="2"/>
          </rPr>
          <t xml:space="preserve">QUERIA TEIAL Y  TENIA CORTE EN COA Y SE LE DIJO QUE NO QUEDARIA LISOO POR EL CORTE </t>
        </r>
      </text>
    </comment>
    <comment ref="C19" authorId="0" shapeId="0" xr:uid="{EE659439-50D1-4F25-A069-919888EB93D5}">
      <text>
        <r>
          <rPr>
            <b/>
            <sz val="9"/>
            <color indexed="81"/>
            <rFont val="Tahoma"/>
            <family val="2"/>
          </rPr>
          <t>sin descuento la cliente no queria nada termoactivo y su cabello era tinturado de marrón</t>
        </r>
      </text>
    </comment>
    <comment ref="H19" authorId="0" shapeId="0" xr:uid="{677C4819-2108-4432-BECA-285002A0E984}">
      <text>
        <r>
          <rPr>
            <b/>
            <sz val="9"/>
            <color indexed="81"/>
            <rFont val="Tahoma"/>
            <family val="2"/>
          </rPr>
          <t xml:space="preserve">1 karina asesora no informo que era termoactivo
1 oneida mala asesoria de la estilista 
</t>
        </r>
      </text>
    </comment>
    <comment ref="N19" authorId="0" shapeId="0" xr:uid="{30CF04C4-F591-4E0F-9F41-7FBB10E7DF70}">
      <text>
        <r>
          <rPr>
            <b/>
            <sz val="9"/>
            <color indexed="81"/>
            <rFont val="Tahoma"/>
            <family val="2"/>
          </rPr>
          <t>ALBERLIS</t>
        </r>
      </text>
    </comment>
    <comment ref="O19" authorId="0" shapeId="0" xr:uid="{46A59543-0967-4043-83D0-10E9C172F713}">
      <text>
        <r>
          <rPr>
            <b/>
            <sz val="9"/>
            <color indexed="81"/>
            <rFont val="Tahoma"/>
            <family val="2"/>
          </rPr>
          <t>1 ONEIDA
1 FLOR</t>
        </r>
      </text>
    </comment>
    <comment ref="Q19" authorId="0" shapeId="0" xr:uid="{4CAFF77C-50C8-48D5-B7DF-B6138D0FFE84}">
      <text>
        <r>
          <rPr>
            <b/>
            <sz val="9"/>
            <color indexed="81"/>
            <rFont val="Tahoma"/>
            <family val="2"/>
          </rPr>
          <t xml:space="preserve">1 karina
1 karina
</t>
        </r>
      </text>
    </comment>
    <comment ref="S19" authorId="0" shapeId="0" xr:uid="{E9F2D4D3-B8EE-4D5C-9074-15C0BBB628CC}">
      <text>
        <r>
          <rPr>
            <sz val="9"/>
            <color indexed="81"/>
            <rFont val="Tahoma"/>
            <family val="2"/>
          </rPr>
          <t xml:space="preserve">1 SOFIA
</t>
        </r>
      </text>
    </comment>
    <comment ref="T19" authorId="0" shapeId="0" xr:uid="{5A09E1C6-3150-405C-A769-260B1B0BB117}">
      <text>
        <r>
          <rPr>
            <b/>
            <sz val="9"/>
            <color indexed="81"/>
            <rFont val="Tahoma"/>
            <family val="2"/>
          </rPr>
          <t>1 SIN ESTILISTA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9" authorId="0" shapeId="0" xr:uid="{987CF32E-6E97-4360-9362-114EB22EFAFD}">
      <text>
        <r>
          <rPr>
            <b/>
            <sz val="9"/>
            <color indexed="81"/>
            <rFont val="Tahoma"/>
            <family val="2"/>
          </rPr>
          <t>1 ONEIDA</t>
        </r>
      </text>
    </comment>
    <comment ref="W19" authorId="0" shapeId="0" xr:uid="{9FA6B991-6239-4841-AD6E-E1C22DDC0133}">
      <text>
        <r>
          <rPr>
            <sz val="9"/>
            <color indexed="81"/>
            <rFont val="Tahoma"/>
            <family val="2"/>
          </rPr>
          <t xml:space="preserve">1 SIN ESTILISTA
</t>
        </r>
      </text>
    </comment>
    <comment ref="X19" authorId="0" shapeId="0" xr:uid="{E2CD8233-5B88-4586-BF22-A9650DE468D2}">
      <text>
        <r>
          <rPr>
            <sz val="9"/>
            <color indexed="81"/>
            <rFont val="Tahoma"/>
            <family val="2"/>
          </rPr>
          <t xml:space="preserve">1 MILAGRO 
1 ONE
</t>
        </r>
      </text>
    </comment>
    <comment ref="AB19" authorId="0" shapeId="0" xr:uid="{380A7ED2-1AB9-4F6E-96F4-E9C0C1865F74}">
      <text>
        <r>
          <rPr>
            <b/>
            <sz val="9"/>
            <color indexed="81"/>
            <rFont val="Tahoma"/>
            <family val="2"/>
          </rPr>
          <t>1 sofia</t>
        </r>
      </text>
    </comment>
    <comment ref="I28" authorId="0" shapeId="0" xr:uid="{641A1FC1-B6B4-4E03-91E2-1A299A311A79}">
      <text>
        <r>
          <rPr>
            <b/>
            <sz val="9"/>
            <color indexed="81"/>
            <rFont val="Tahoma"/>
            <family val="2"/>
          </rPr>
          <t xml:space="preserve">1 era un abono pero volvio a reagendar abono el 6 
</t>
        </r>
      </text>
    </comment>
    <comment ref="B30" authorId="0" shapeId="0" xr:uid="{904F4CE0-4ECF-481E-B4D9-7D3DD4BD706A}">
      <text>
        <r>
          <rPr>
            <b/>
            <sz val="9"/>
            <color indexed="81"/>
            <rFont val="Tahoma"/>
            <family val="2"/>
          </rPr>
          <t xml:space="preserve">asistio con su hermana menor de edad sin representante </t>
        </r>
      </text>
    </comment>
    <comment ref="C30" authorId="0" shapeId="0" xr:uid="{211E7247-D910-4F97-BF81-1E0C5BFCAC98}">
      <text>
        <r>
          <rPr>
            <b/>
            <sz val="9"/>
            <color indexed="81"/>
            <rFont val="Tahoma"/>
            <family val="2"/>
          </rPr>
          <t xml:space="preserve">sin estilistas 
</t>
        </r>
      </text>
    </comment>
    <comment ref="D30" authorId="0" shapeId="0" xr:uid="{592AEF16-48E9-432A-8243-8043D1B63902}">
      <text>
        <r>
          <rPr>
            <b/>
            <sz val="9"/>
            <color indexed="81"/>
            <rFont val="Tahoma"/>
            <family val="2"/>
          </rPr>
          <t>sin estilistas</t>
        </r>
      </text>
    </comment>
    <comment ref="E30" authorId="0" shapeId="0" xr:uid="{42921E41-ADBB-4524-A412-49C1468A257C}">
      <text>
        <r>
          <rPr>
            <b/>
            <sz val="9"/>
            <color indexed="81"/>
            <rFont val="Tahoma"/>
            <family val="2"/>
          </rPr>
          <t xml:space="preserve">2 sin estilistas solo trabajaron sofia y leo. </t>
        </r>
      </text>
    </comment>
    <comment ref="F30" authorId="0" shapeId="0" xr:uid="{5159C2EE-732F-4A0C-B050-D4C8F363FC28}">
      <text>
        <r>
          <rPr>
            <b/>
            <sz val="9"/>
            <color indexed="81"/>
            <rFont val="Tahoma"/>
            <family val="2"/>
          </rPr>
          <t xml:space="preserve">3 leo aforo solo trabajo leo este día
</t>
        </r>
      </text>
    </comment>
    <comment ref="G30" authorId="0" shapeId="0" xr:uid="{4785DAAE-52DF-43B6-A838-228ACFB96288}">
      <text>
        <r>
          <rPr>
            <b/>
            <sz val="9"/>
            <color indexed="81"/>
            <rFont val="Tahoma"/>
            <family val="2"/>
          </rPr>
          <t>2 caunter
1 ami por tiempo
1 leo dijo que abonaria y se fue</t>
        </r>
      </text>
    </comment>
    <comment ref="H30" authorId="0" shapeId="0" xr:uid="{A11E8A72-071F-455A-B6C1-A500631F62A9}">
      <text>
        <r>
          <rPr>
            <b/>
            <sz val="9"/>
            <color indexed="81"/>
            <rFont val="Tahoma"/>
            <family val="2"/>
          </rPr>
          <t xml:space="preserve">1 xavier por precio 
1 sin estilista 
solo trabajo xavier y amy ese dia </t>
        </r>
      </text>
    </comment>
    <comment ref="J30" authorId="0" shapeId="0" xr:uid="{D4E2EE5D-D084-467A-BE46-A7F7A60A2584}">
      <text>
        <r>
          <rPr>
            <b/>
            <sz val="9"/>
            <color indexed="81"/>
            <rFont val="Tahoma"/>
            <family val="2"/>
          </rPr>
          <t>1 xavier</t>
        </r>
      </text>
    </comment>
    <comment ref="L30" authorId="0" shapeId="0" xr:uid="{477AF4AA-48CB-4CD0-8D0F-017E5C101957}">
      <text>
        <r>
          <rPr>
            <b/>
            <sz val="9"/>
            <color indexed="81"/>
            <rFont val="Tahoma"/>
            <family val="2"/>
          </rPr>
          <t>1 ANY</t>
        </r>
      </text>
    </comment>
    <comment ref="N30" authorId="0" shapeId="0" xr:uid="{24A1F3B0-2656-4E62-8413-E81291B6E8A3}">
      <text>
        <r>
          <rPr>
            <b/>
            <sz val="9"/>
            <color indexed="81"/>
            <rFont val="Tahoma"/>
            <family val="2"/>
          </rPr>
          <t xml:space="preserve">1 MIGUEL LA ABORDO LUISANA </t>
        </r>
      </text>
    </comment>
    <comment ref="Q30" authorId="0" shapeId="0" xr:uid="{1096106C-8B86-4820-8F71-37ABC3775E49}">
      <text>
        <r>
          <rPr>
            <b/>
            <sz val="9"/>
            <color indexed="81"/>
            <rFont val="Tahoma"/>
            <family val="2"/>
          </rPr>
          <t xml:space="preserve">1 xavier cliente la aborde no logre convencerla
1 leo le ofrecio color en 350 no le quiso bajar cuando yo le baje ya la cliente no queria 
1 sofia
1 miguel madre e hija no quisieron nada </t>
        </r>
      </text>
    </comment>
    <comment ref="S30" authorId="0" shapeId="0" xr:uid="{87B27BD3-DDA6-41F7-95C0-707D9997A693}">
      <text>
        <r>
          <rPr>
            <sz val="9"/>
            <color indexed="81"/>
            <rFont val="Tahoma"/>
            <family val="2"/>
          </rPr>
          <t xml:space="preserve">1 CARLOS, CLIENTE QUERIA COLOR Y NO TENIA COLORISTA
</t>
        </r>
      </text>
    </comment>
    <comment ref="W30" authorId="0" shapeId="0" xr:uid="{7BF584C9-E5A6-4CE2-8C0B-E9DF6884A1E8}">
      <text>
        <r>
          <rPr>
            <sz val="9"/>
            <color indexed="81"/>
            <rFont val="Tahoma"/>
            <family val="2"/>
          </rPr>
          <t xml:space="preserve">1 SOFIA
</t>
        </r>
      </text>
    </comment>
    <comment ref="Y30" authorId="0" shapeId="0" xr:uid="{F2398ED7-7E10-42E9-8036-061B4DF27F19}">
      <text>
        <r>
          <rPr>
            <sz val="9"/>
            <color indexed="81"/>
            <rFont val="Tahoma"/>
            <family val="2"/>
          </rPr>
          <t xml:space="preserve">2 XAVIER DESCUENTO POR PRECIO 
</t>
        </r>
      </text>
    </comment>
    <comment ref="Z30" authorId="0" shapeId="0" xr:uid="{971DBDC2-60EC-4D42-BC94-21CF32C42B47}">
      <text>
        <r>
          <rPr>
            <b/>
            <sz val="9"/>
            <color indexed="81"/>
            <rFont val="Tahoma"/>
            <family val="2"/>
          </rPr>
          <t xml:space="preserve">1 leo descuento </t>
        </r>
      </text>
    </comment>
    <comment ref="AB30" authorId="0" shapeId="0" xr:uid="{B223A965-5282-47AF-9888-E6F1D02D3E80}">
      <text>
        <r>
          <rPr>
            <sz val="9"/>
            <color indexed="81"/>
            <rFont val="Tahoma"/>
            <family val="2"/>
          </rPr>
          <t>1 mileidy descuento
1 xavier descuento</t>
        </r>
      </text>
    </comment>
    <comment ref="AD30" authorId="0" shapeId="0" xr:uid="{B282CF11-F7FB-43CF-AFBA-F384D5E769CA}">
      <text>
        <r>
          <rPr>
            <sz val="9"/>
            <color indexed="81"/>
            <rFont val="Tahoma"/>
            <family val="2"/>
          </rPr>
          <t xml:space="preserve">1 leo
1xavier
</t>
        </r>
      </text>
    </comment>
    <comment ref="C41" authorId="0" shapeId="0" xr:uid="{6C12554B-3D6F-474C-B542-AD9BF3C9E887}">
      <text>
        <r>
          <rPr>
            <sz val="9"/>
            <color indexed="81"/>
            <rFont val="Tahoma"/>
            <family val="2"/>
          </rPr>
          <t xml:space="preserve">1 emely
</t>
        </r>
      </text>
    </comment>
    <comment ref="J41" authorId="0" shapeId="0" xr:uid="{95A64EA6-12F9-46B1-B08D-920595E05FE8}">
      <text>
        <r>
          <rPr>
            <b/>
            <sz val="9"/>
            <color indexed="81"/>
            <rFont val="Tahoma"/>
            <family val="2"/>
          </rPr>
          <t xml:space="preserve">1 rosangela </t>
        </r>
      </text>
    </comment>
    <comment ref="O41" authorId="0" shapeId="0" xr:uid="{E16E6061-CBDE-40DA-A7C9-232ABE8F2EDA}">
      <text>
        <r>
          <rPr>
            <b/>
            <sz val="9"/>
            <color indexed="81"/>
            <rFont val="Tahoma"/>
            <family val="2"/>
          </rPr>
          <t>ROSANGELA</t>
        </r>
      </text>
    </comment>
    <comment ref="P41" authorId="0" shapeId="0" xr:uid="{A94EDEFF-3E25-470A-95B1-0558BC540F7D}">
      <text>
        <r>
          <rPr>
            <b/>
            <sz val="9"/>
            <color indexed="81"/>
            <rFont val="Tahoma"/>
            <family val="2"/>
          </rPr>
          <t xml:space="preserve">1 celeste
</t>
        </r>
      </text>
    </comment>
    <comment ref="W41" authorId="0" shapeId="0" xr:uid="{E2278181-7A7C-4B2A-BF70-DF42CEDD20A9}">
      <text>
        <r>
          <rPr>
            <b/>
            <sz val="9"/>
            <color indexed="81"/>
            <rFont val="Tahoma"/>
            <family val="2"/>
          </rPr>
          <t>1 CELESTE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41" authorId="0" shapeId="0" xr:uid="{CC13680C-1C8F-4892-BFBF-A5685894BD7F}">
      <text>
        <r>
          <rPr>
            <b/>
            <sz val="9"/>
            <color indexed="81"/>
            <rFont val="Tahoma"/>
            <family val="2"/>
          </rPr>
          <t>sin estilsta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0" authorId="0" shapeId="0" xr:uid="{680AA0F7-44E4-426E-83D6-BFA13C133363}">
      <text>
        <r>
          <rPr>
            <sz val="9"/>
            <color indexed="81"/>
            <rFont val="Tahoma"/>
            <family val="2"/>
          </rPr>
          <t>1 sin asesora 
heidy</t>
        </r>
      </text>
    </comment>
    <comment ref="D52" authorId="0" shapeId="0" xr:uid="{766A4C9B-64AE-4BDD-92BB-4E724ACF62D0}">
      <text>
        <r>
          <rPr>
            <b/>
            <sz val="9"/>
            <color indexed="81"/>
            <rFont val="Tahoma"/>
            <family val="2"/>
          </rPr>
          <t>1 heidy</t>
        </r>
      </text>
    </comment>
    <comment ref="E52" authorId="0" shapeId="0" xr:uid="{AE033C03-20F2-4B53-B242-53551158AAE5}">
      <text>
        <r>
          <rPr>
            <b/>
            <sz val="9"/>
            <color indexed="81"/>
            <rFont val="Tahoma"/>
            <family val="2"/>
          </rPr>
          <t>la cliente de elsy indico que asistiria a la playa y la estilista le dijo que no le duraria el laceado</t>
        </r>
      </text>
    </comment>
    <comment ref="G52" authorId="0" shapeId="0" xr:uid="{3F718FC2-105D-4894-8516-B68CBE0D2DF8}">
      <text>
        <r>
          <rPr>
            <b/>
            <sz val="9"/>
            <color indexed="81"/>
            <rFont val="Tahoma"/>
            <family val="2"/>
          </rPr>
          <t xml:space="preserve">1 pabloe no paso trial no quiso termoactivo 
</t>
        </r>
      </text>
    </comment>
    <comment ref="L52" authorId="0" shapeId="0" xr:uid="{D538EECB-E394-4CF6-BF25-25BC088A42CB}">
      <text>
        <r>
          <rPr>
            <b/>
            <sz val="9"/>
            <color indexed="81"/>
            <rFont val="Tahoma"/>
            <family val="2"/>
          </rPr>
          <t xml:space="preserve">1 ELSY
1 VANESA
</t>
        </r>
      </text>
    </comment>
    <comment ref="M52" authorId="0" shapeId="0" xr:uid="{248295B8-1B72-4E4E-8320-0ED377B568D4}">
      <text>
        <r>
          <rPr>
            <b/>
            <sz val="9"/>
            <color indexed="81"/>
            <rFont val="Tahoma"/>
            <family val="2"/>
          </rPr>
          <t>1 PABLO</t>
        </r>
      </text>
    </comment>
    <comment ref="P52" authorId="0" shapeId="0" xr:uid="{48407A7E-F89E-431A-AA4D-5299082C2FE2}">
      <text>
        <r>
          <rPr>
            <b/>
            <sz val="9"/>
            <color indexed="81"/>
            <rFont val="Tahoma"/>
            <family val="2"/>
          </rPr>
          <t>2 elsy
1 pablo</t>
        </r>
      </text>
    </comment>
    <comment ref="Q52" authorId="0" shapeId="0" xr:uid="{73AB0B34-2C37-46AD-A1DB-266F4E7A5CC6}">
      <text>
        <r>
          <rPr>
            <b/>
            <sz val="9"/>
            <color indexed="81"/>
            <rFont val="Tahoma"/>
            <family val="2"/>
          </rPr>
          <t>1 vanesa</t>
        </r>
      </text>
    </comment>
    <comment ref="R52" authorId="0" shapeId="0" xr:uid="{DD7CA3B3-D42E-4449-8C36-1AF6EA300A09}">
      <text>
        <r>
          <rPr>
            <b/>
            <sz val="9"/>
            <color indexed="81"/>
            <rFont val="Tahoma"/>
            <family val="2"/>
          </rPr>
          <t>1 pablo</t>
        </r>
      </text>
    </comment>
    <comment ref="S52" authorId="0" shapeId="0" xr:uid="{371C1BC1-9DB0-4AC7-A74F-CFB246D11E37}">
      <text>
        <r>
          <rPr>
            <b/>
            <sz val="9"/>
            <color indexed="81"/>
            <rFont val="Tahoma"/>
            <family val="2"/>
          </rPr>
          <t>1 VANESA aforo cliente no quiso esperar 
1 ELSY descuento mala atencion 
este día solo 22 estilistas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2" authorId="0" shapeId="0" xr:uid="{CE57CFF8-A198-47BB-89EC-4F57F491ED62}">
      <text>
        <r>
          <rPr>
            <sz val="9"/>
            <color indexed="81"/>
            <rFont val="Tahoma"/>
            <family val="2"/>
          </rPr>
          <t xml:space="preserve">3 PABLO
</t>
        </r>
      </text>
    </comment>
    <comment ref="V52" authorId="0" shapeId="0" xr:uid="{97C109CF-F57E-4187-BD94-9D5F8D3C5A97}">
      <text>
        <r>
          <rPr>
            <sz val="9"/>
            <color indexed="81"/>
            <rFont val="Tahoma"/>
            <family val="2"/>
          </rPr>
          <t xml:space="preserve">1 ELSY
</t>
        </r>
      </text>
    </comment>
    <comment ref="Y52" authorId="0" shapeId="0" xr:uid="{3C002A20-ED99-402B-A1D6-4BA6833E9BFA}">
      <text>
        <r>
          <rPr>
            <sz val="9"/>
            <color indexed="81"/>
            <rFont val="Tahoma"/>
            <family val="2"/>
          </rPr>
          <t xml:space="preserve">1 PABLO esta duplicada la cliente se realizo servicio con vanessa bio 250
</t>
        </r>
      </text>
    </comment>
    <comment ref="Z52" authorId="0" shapeId="0" xr:uid="{F4D5DAFD-CE61-4482-8C23-A3550D384DB8}">
      <text>
        <r>
          <rPr>
            <b/>
            <sz val="9"/>
            <color indexed="81"/>
            <rFont val="Tahoma"/>
            <family val="2"/>
          </rPr>
          <t>1 vanesa</t>
        </r>
      </text>
    </comment>
    <comment ref="AA52" authorId="0" shapeId="0" xr:uid="{D9CF1A5D-9B25-49A6-8321-8437E3C79A32}">
      <text>
        <r>
          <rPr>
            <sz val="9"/>
            <color indexed="81"/>
            <rFont val="Tahoma"/>
            <family val="2"/>
          </rPr>
          <t xml:space="preserve">1 vanesa
</t>
        </r>
      </text>
    </comment>
    <comment ref="AB52" authorId="0" shapeId="0" xr:uid="{E7B0F803-2284-4E00-8330-613554BA1997}">
      <text>
        <r>
          <rPr>
            <sz val="9"/>
            <color indexed="81"/>
            <rFont val="Tahoma"/>
            <family val="2"/>
          </rPr>
          <t xml:space="preserve">2 pablo
1 vanesa
</t>
        </r>
      </text>
    </comment>
    <comment ref="AC52" authorId="0" shapeId="0" xr:uid="{3BB7C362-1929-41B9-B0CF-1BFA0BBD0520}">
      <text>
        <r>
          <rPr>
            <b/>
            <sz val="9"/>
            <color indexed="81"/>
            <rFont val="Tahoma"/>
            <family val="2"/>
          </rPr>
          <t>1 elsy
1 pabloe descuento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2" authorId="0" shapeId="0" xr:uid="{F02EC893-0BBE-450B-91E4-C446D2FE5F22}">
      <text>
        <r>
          <rPr>
            <sz val="9"/>
            <color indexed="81"/>
            <rFont val="Tahoma"/>
            <family val="2"/>
          </rPr>
          <t xml:space="preserve">1 elsy
1 vanesa
1 heidy
</t>
        </r>
      </text>
    </comment>
    <comment ref="B63" authorId="0" shapeId="0" xr:uid="{AE6EC151-040E-456B-99F4-230F10C81EBA}">
      <text>
        <r>
          <rPr>
            <b/>
            <sz val="9"/>
            <color indexed="81"/>
            <rFont val="Tahoma"/>
            <family val="2"/>
          </rPr>
          <t xml:space="preserve">de jasmin </t>
        </r>
      </text>
    </comment>
    <comment ref="AA70" authorId="0" shapeId="0" xr:uid="{3FEF40AE-58DF-4A17-8E1F-294AB76292D7}">
      <text>
        <r>
          <rPr>
            <b/>
            <sz val="9"/>
            <color indexed="81"/>
            <rFont val="Tahoma"/>
            <family val="2"/>
          </rPr>
          <t>aparte asistieron 3 botox de obswequio</t>
        </r>
      </text>
    </comment>
    <comment ref="AB70" authorId="0" shapeId="0" xr:uid="{007F2293-5517-4392-ADCE-48FF58C5E8AD}">
      <text>
        <r>
          <rPr>
            <b/>
            <sz val="9"/>
            <color indexed="81"/>
            <rFont val="Tahoma"/>
            <family val="2"/>
          </rPr>
          <t>aparte asistieron 10 botox de obsequio</t>
        </r>
      </text>
    </comment>
    <comment ref="B74" authorId="0" shapeId="0" xr:uid="{D7FEB1CD-965F-4A02-8FB0-8EEB0E6E0908}">
      <text>
        <r>
          <rPr>
            <b/>
            <sz val="9"/>
            <color indexed="81"/>
            <rFont val="Tahoma"/>
            <family val="2"/>
          </rPr>
          <t>2 steven
1 natasha
1 samuel</t>
        </r>
      </text>
    </comment>
    <comment ref="C74" authorId="0" shapeId="0" xr:uid="{06737B06-2634-40A7-98F8-ED6DC993BA6C}">
      <text>
        <r>
          <rPr>
            <b/>
            <sz val="9"/>
            <color indexed="81"/>
            <rFont val="Tahoma"/>
            <family val="2"/>
          </rPr>
          <t>2 milena
1 natasha
1johana</t>
        </r>
      </text>
    </comment>
    <comment ref="D74" authorId="0" shapeId="0" xr:uid="{9DACCE51-F616-42DA-A419-CA9D3DAE8B2A}">
      <text>
        <r>
          <rPr>
            <b/>
            <sz val="9"/>
            <color indexed="81"/>
            <rFont val="Tahoma"/>
            <family val="2"/>
          </rPr>
          <t xml:space="preserve">1 natasha
1 alejandra
2 milena
</t>
        </r>
      </text>
    </comment>
    <comment ref="E74" authorId="0" shapeId="0" xr:uid="{3D7215E8-BC32-4406-B582-7B746FE521D7}">
      <text>
        <r>
          <rPr>
            <b/>
            <sz val="9"/>
            <color indexed="81"/>
            <rFont val="Tahoma"/>
            <family val="2"/>
          </rPr>
          <t>2  katherine
1 natasha</t>
        </r>
      </text>
    </comment>
    <comment ref="G74" authorId="0" shapeId="0" xr:uid="{4D8DA3DB-D23B-49F5-A3E0-EA8DDFF5A7E4}">
      <text>
        <r>
          <rPr>
            <b/>
            <sz val="9"/>
            <color indexed="81"/>
            <rFont val="Tahoma"/>
            <family val="2"/>
          </rPr>
          <t xml:space="preserve">2 de johana , alejandra hablo con las clientes pero igual las dejaron ir </t>
        </r>
      </text>
    </comment>
    <comment ref="L74" authorId="0" shapeId="0" xr:uid="{2F30174C-FD06-4AE5-A4DC-54799AB357BA}">
      <text>
        <r>
          <rPr>
            <b/>
            <sz val="9"/>
            <color indexed="81"/>
            <rFont val="Tahoma"/>
            <family val="2"/>
          </rPr>
          <t>NATASHA</t>
        </r>
      </text>
    </comment>
    <comment ref="AB81" authorId="0" shapeId="0" xr:uid="{C1C2C9FA-101F-48CE-AF36-0ACC4C18336B}">
      <text>
        <r>
          <rPr>
            <sz val="9"/>
            <color indexed="81"/>
            <rFont val="Tahoma"/>
            <family val="2"/>
          </rPr>
          <t xml:space="preserve">aparte asistieron 7 botox 
</t>
        </r>
      </text>
    </comment>
    <comment ref="B85" authorId="0" shapeId="0" xr:uid="{D7993022-BE5C-4AA4-86A0-967B5D165B20}">
      <text>
        <r>
          <rPr>
            <b/>
            <sz val="9"/>
            <color indexed="81"/>
            <rFont val="Tahoma"/>
            <family val="2"/>
          </rPr>
          <t>3  yoli
3 yoselin 
solo dos estilistas ese día</t>
        </r>
      </text>
    </comment>
    <comment ref="C85" authorId="0" shapeId="0" xr:uid="{7BEBDCB4-4B5C-4AF2-B110-12A7BDE2A9F5}">
      <text>
        <r>
          <rPr>
            <b/>
            <sz val="9"/>
            <color indexed="81"/>
            <rFont val="Tahoma"/>
            <family val="2"/>
          </rPr>
          <t xml:space="preserve">2 yoli
1 zully
1 steven
2 sin nombre </t>
        </r>
      </text>
    </comment>
    <comment ref="D85" authorId="0" shapeId="0" xr:uid="{70BA8FD4-C9DB-4828-9C51-4B17A1BD9602}">
      <text>
        <r>
          <rPr>
            <b/>
            <sz val="9"/>
            <color indexed="81"/>
            <rFont val="Tahoma"/>
            <family val="2"/>
          </rPr>
          <t>1 steven
1 yoselin
1 andres
1 yoli</t>
        </r>
      </text>
    </comment>
    <comment ref="E85" authorId="0" shapeId="0" xr:uid="{EB586F20-6AA4-4B6A-A21C-BA6025A7A8C7}">
      <text>
        <r>
          <rPr>
            <b/>
            <sz val="9"/>
            <color indexed="81"/>
            <rFont val="Tahoma"/>
            <family val="2"/>
          </rPr>
          <t>3 zully
1 andres
2  yoli</t>
        </r>
      </text>
    </comment>
    <comment ref="F85" authorId="0" shapeId="0" xr:uid="{0D43AF57-BFEF-4BC4-BF5C-722E0D25268E}">
      <text>
        <r>
          <rPr>
            <b/>
            <sz val="9"/>
            <color indexed="81"/>
            <rFont val="Tahoma"/>
            <family val="2"/>
          </rPr>
          <t xml:space="preserve">1 milena se retira por tiempo </t>
        </r>
      </text>
    </comment>
    <comment ref="G85" authorId="0" shapeId="0" xr:uid="{594F4467-0FCF-401D-B779-624257C06843}">
      <text>
        <r>
          <rPr>
            <b/>
            <sz val="9"/>
            <color indexed="81"/>
            <rFont val="Tahoma"/>
            <family val="2"/>
          </rPr>
          <t xml:space="preserve">2 zully
1 steven
2 edna 
1 yoli
ale hablo con las clientes y yo tambien 
1 llego grosera no quiso hablar con nadie
dejaron ir dos porque dicen que ale les ofrce 100% liso con secadora y 3 se me fueron a mi no logre retenerlas 1 quedo en regresar 
</t>
        </r>
      </text>
    </comment>
    <comment ref="H85" authorId="0" shapeId="0" xr:uid="{55C57C0F-6537-454B-B9CA-A827426403FF}">
      <text>
        <r>
          <rPr>
            <b/>
            <sz val="9"/>
            <color indexed="81"/>
            <rFont val="Tahoma"/>
            <family val="2"/>
          </rPr>
          <t>2 diana
3 edna
2 se me fueron a mi no logre convencerlas
3 con alejandra 
1 quedo en regresar</t>
        </r>
      </text>
    </comment>
    <comment ref="S92" authorId="0" shapeId="0" xr:uid="{482170F0-4040-4964-8374-28FE5141C82F}">
      <text>
        <r>
          <rPr>
            <b/>
            <sz val="9"/>
            <color indexed="81"/>
            <rFont val="Tahoma"/>
            <family val="2"/>
          </rPr>
          <t xml:space="preserve">ADICIONAL ASISTIERON 3 BOTOX DE REGALO </t>
        </r>
      </text>
    </comment>
    <comment ref="T92" authorId="0" shapeId="0" xr:uid="{970932F9-6480-4F5F-89D9-F96D54F90CDC}">
      <text>
        <r>
          <rPr>
            <b/>
            <sz val="9"/>
            <color indexed="81"/>
            <rFont val="Tahoma"/>
            <family val="2"/>
          </rPr>
          <t>ADICIONAL ASISTIERON 2 BOTOX</t>
        </r>
      </text>
    </comment>
    <comment ref="Z92" authorId="0" shapeId="0" xr:uid="{10505CF8-0E66-42EC-B4EE-8067A0242F93}">
      <text>
        <r>
          <rPr>
            <b/>
            <sz val="9"/>
            <color indexed="81"/>
            <rFont val="Tahoma"/>
            <family val="2"/>
          </rPr>
          <t xml:space="preserve">aparte asistieron 12 or botox </t>
        </r>
      </text>
    </comment>
    <comment ref="AA92" authorId="0" shapeId="0" xr:uid="{81E5286A-1450-48F1-8F33-346076DCE2F7}">
      <text>
        <r>
          <rPr>
            <b/>
            <sz val="9"/>
            <color indexed="81"/>
            <rFont val="Tahoma"/>
            <family val="2"/>
          </rPr>
          <t>aparte sistieron 17 botox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6" authorId="0" shapeId="0" xr:uid="{5EB9F5BE-0FBB-43FA-B3F4-D0A48A9D849A}">
      <text>
        <r>
          <rPr>
            <b/>
            <sz val="9"/>
            <color indexed="81"/>
            <rFont val="Tahoma"/>
            <family val="2"/>
          </rPr>
          <t xml:space="preserve">1 daniela 
1 celeny
1 sin estilista </t>
        </r>
      </text>
    </comment>
    <comment ref="E96" authorId="0" shapeId="0" xr:uid="{5B01AA56-EAFB-433C-931B-56631C7730CD}">
      <text>
        <r>
          <rPr>
            <b/>
            <sz val="9"/>
            <color indexed="81"/>
            <rFont val="Tahoma"/>
            <family val="2"/>
          </rPr>
          <t>1 yislen</t>
        </r>
      </text>
    </comment>
    <comment ref="F96" authorId="0" shapeId="0" xr:uid="{CBD40AF9-B0AB-4FFF-9B2B-0E12D5F7B74B}">
      <text>
        <r>
          <rPr>
            <b/>
            <sz val="9"/>
            <color indexed="81"/>
            <rFont val="Tahoma"/>
            <family val="2"/>
          </rPr>
          <t>1 celeny</t>
        </r>
      </text>
    </comment>
    <comment ref="G96" authorId="0" shapeId="0" xr:uid="{BEEB391E-1E71-436E-89F0-505C4505B6FE}">
      <text>
        <r>
          <rPr>
            <b/>
            <sz val="9"/>
            <color indexed="81"/>
            <rFont val="Tahoma"/>
            <family val="2"/>
          </rPr>
          <t xml:space="preserve">1 daniela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96" authorId="0" shapeId="0" xr:uid="{719DF790-BDDE-454C-AA7B-8007D889709C}">
      <text>
        <r>
          <rPr>
            <b/>
            <sz val="9"/>
            <color indexed="81"/>
            <rFont val="Tahoma"/>
            <family val="2"/>
          </rPr>
          <t>1 ignacia</t>
        </r>
      </text>
    </comment>
    <comment ref="N96" authorId="0" shapeId="0" xr:uid="{D6F028C1-7D45-4BB2-A14F-FB44AEEA7295}">
      <text>
        <r>
          <rPr>
            <b/>
            <sz val="9"/>
            <color indexed="81"/>
            <rFont val="Tahoma"/>
            <family val="2"/>
          </rPr>
          <t>1 DANIELA
2 CELENY</t>
        </r>
      </text>
    </comment>
    <comment ref="O96" authorId="0" shapeId="0" xr:uid="{4B1CEF0E-AAA4-4BB2-A37A-8F1844BE0563}">
      <text>
        <r>
          <rPr>
            <b/>
            <sz val="9"/>
            <color indexed="81"/>
            <rFont val="Tahoma"/>
            <family val="2"/>
          </rPr>
          <t>2 celeny</t>
        </r>
      </text>
    </comment>
    <comment ref="P96" authorId="0" shapeId="0" xr:uid="{7C0FEA2F-622B-46EC-A25C-CD3400A68D95}">
      <text>
        <r>
          <rPr>
            <b/>
            <sz val="9"/>
            <color indexed="81"/>
            <rFont val="Tahoma"/>
            <family val="2"/>
          </rPr>
          <t>1 ANA</t>
        </r>
      </text>
    </comment>
    <comment ref="S103" authorId="0" shapeId="0" xr:uid="{B8BEED72-AEDD-429A-B06B-CFC223ADC512}">
      <text>
        <r>
          <rPr>
            <b/>
            <sz val="9"/>
            <color indexed="81"/>
            <rFont val="Tahoma"/>
            <family val="2"/>
          </rPr>
          <t>ADICIONAL ASISTIERON 9 BOTOX DE OBSEQUIO</t>
        </r>
      </text>
    </comment>
    <comment ref="T103" authorId="0" shapeId="0" xr:uid="{F743FC25-2096-4D5C-AC3B-D42B7C11C46D}">
      <text>
        <r>
          <rPr>
            <b/>
            <sz val="9"/>
            <color indexed="81"/>
            <rFont val="Tahoma"/>
            <family val="2"/>
          </rPr>
          <t>ADICIONAL ASISTIERON 4 BOTOX DE OBSEQUIO</t>
        </r>
      </text>
    </comment>
    <comment ref="Z103" authorId="0" shapeId="0" xr:uid="{DB3F368F-3D0C-4BFE-8D9B-49BAB9A139A5}">
      <text>
        <r>
          <rPr>
            <b/>
            <sz val="9"/>
            <color indexed="81"/>
            <rFont val="Tahoma"/>
            <family val="2"/>
          </rPr>
          <t>aparte asistiron 9 botox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103" authorId="0" shapeId="0" xr:uid="{CCA6E523-97D9-4F8F-A6B3-75A5F6248A18}">
      <text>
        <r>
          <rPr>
            <b/>
            <sz val="9"/>
            <color indexed="81"/>
            <rFont val="Tahoma"/>
            <family val="2"/>
          </rPr>
          <t xml:space="preserve">aparte asistieron 18 botox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103" authorId="0" shapeId="0" xr:uid="{766B3761-AA4D-45AB-B2AC-D144E56F21B1}">
      <text>
        <r>
          <rPr>
            <b/>
            <sz val="9"/>
            <color indexed="81"/>
            <rFont val="Tahoma"/>
            <family val="2"/>
          </rPr>
          <t xml:space="preserve">aparte asistio 1 botox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7" authorId="0" shapeId="0" xr:uid="{D2B72BDB-BA51-49B7-86E2-6115146E2299}">
      <text>
        <r>
          <rPr>
            <b/>
            <sz val="9"/>
            <color indexed="81"/>
            <rFont val="Tahoma"/>
            <family val="2"/>
          </rPr>
          <t>1 ana</t>
        </r>
      </text>
    </comment>
    <comment ref="E107" authorId="0" shapeId="0" xr:uid="{C4B1BEBB-241E-4E54-A666-72289861D938}">
      <text>
        <r>
          <rPr>
            <b/>
            <sz val="9"/>
            <color indexed="81"/>
            <rFont val="Tahoma"/>
            <family val="2"/>
          </rPr>
          <t>2 laura
3 ana</t>
        </r>
      </text>
    </comment>
    <comment ref="F107" authorId="0" shapeId="0" xr:uid="{304119FF-B5EA-4627-879E-BAB99D76D62F}">
      <text>
        <r>
          <rPr>
            <b/>
            <sz val="9"/>
            <color indexed="81"/>
            <rFont val="Tahoma"/>
            <family val="2"/>
          </rPr>
          <t>1 eli</t>
        </r>
      </text>
    </comment>
    <comment ref="G107" authorId="0" shapeId="0" xr:uid="{D6F5B47C-B6C9-4E18-B882-597EF331DCEC}">
      <text>
        <r>
          <rPr>
            <b/>
            <sz val="9"/>
            <color indexed="81"/>
            <rFont val="Tahoma"/>
            <family val="2"/>
          </rPr>
          <t>1 eli</t>
        </r>
      </text>
    </comment>
    <comment ref="N107" authorId="0" shapeId="0" xr:uid="{CBAA13F2-CED1-4266-8CC4-BF08B5E5B7DD}">
      <text>
        <r>
          <rPr>
            <b/>
            <sz val="9"/>
            <color indexed="81"/>
            <rFont val="Tahoma"/>
            <family val="2"/>
          </rPr>
          <t>eli</t>
        </r>
      </text>
    </comment>
    <comment ref="Q107" authorId="0" shapeId="0" xr:uid="{06508C6F-E608-4CC0-A792-6F1D46C624C5}">
      <text>
        <r>
          <rPr>
            <b/>
            <sz val="9"/>
            <color indexed="81"/>
            <rFont val="Tahoma"/>
            <family val="2"/>
          </rPr>
          <t>1 ELI</t>
        </r>
      </text>
    </comment>
    <comment ref="R107" authorId="0" shapeId="0" xr:uid="{90802AA7-E588-47B6-A02B-822DDFBF6458}">
      <text>
        <r>
          <rPr>
            <b/>
            <sz val="9"/>
            <color indexed="81"/>
            <rFont val="Tahoma"/>
            <family val="2"/>
          </rPr>
          <t>1 OSMERY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B8" authorId="0" shapeId="0" xr:uid="{5AE5BA45-8FD5-44B7-BFEA-7A0C0F3C5727}">
      <text>
        <r>
          <rPr>
            <b/>
            <sz val="9"/>
            <color indexed="81"/>
            <rFont val="Tahoma"/>
            <family val="2"/>
          </rPr>
          <t>1 sin estilista</t>
        </r>
      </text>
    </comment>
    <comment ref="E8" authorId="0" shapeId="0" xr:uid="{A176AA14-B581-40A7-B59A-81D832E2F42B}">
      <text>
        <r>
          <rPr>
            <b/>
            <sz val="9"/>
            <color indexed="81"/>
            <rFont val="Tahoma"/>
            <family val="2"/>
          </rPr>
          <t xml:space="preserve">1 roxana , </t>
        </r>
      </text>
    </comment>
    <comment ref="F8" authorId="0" shapeId="0" xr:uid="{BD4B564C-80B6-4855-A1B3-B297ACF1A9A6}">
      <text>
        <r>
          <rPr>
            <b/>
            <sz val="9"/>
            <color indexed="81"/>
            <rFont val="Tahoma"/>
            <family val="2"/>
          </rPr>
          <t xml:space="preserve">1 alvis. La cliente primero no pasaba trial, luego pregunte si pasaba con propoleo me dijeron que si pero ya la cliente no queria y no habia ampollas </t>
        </r>
      </text>
    </comment>
    <comment ref="I8" authorId="0" shapeId="0" xr:uid="{DE81B71C-1964-4FEB-A2CC-F739852C0214}">
      <text>
        <r>
          <rPr>
            <sz val="9"/>
            <color indexed="81"/>
            <rFont val="Tahoma"/>
            <family val="2"/>
          </rPr>
          <t xml:space="preserve">1 roxana cliente no le gusto el olor de los productos y reagendo, se contradice
1 loreny no tenian el tinte 
</t>
        </r>
      </text>
    </comment>
    <comment ref="L8" authorId="0" shapeId="0" xr:uid="{3E92CC14-2920-4D73-8C71-8B72F0913521}">
      <text>
        <r>
          <rPr>
            <b/>
            <sz val="9"/>
            <color indexed="81"/>
            <rFont val="Tahoma"/>
            <family val="2"/>
          </rPr>
          <t>1 josefina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 xr:uid="{080B9D47-8AA8-4B13-BDAB-1827472D8B5B}">
      <text>
        <r>
          <rPr>
            <b/>
            <sz val="9"/>
            <color indexed="81"/>
            <rFont val="Tahoma"/>
            <family val="2"/>
          </rPr>
          <t>1 alvis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" authorId="0" shapeId="0" xr:uid="{B4272816-671F-48EA-9137-E82668F0514A}">
      <text>
        <r>
          <rPr>
            <b/>
            <sz val="9"/>
            <color indexed="81"/>
            <rFont val="Tahoma"/>
            <family val="2"/>
          </rPr>
          <t>1 rebeca por tiempo 
1 rebeca por precio  
1 loreny  queria trial y le recomendaron botox  se le podia hacer trial pero le recomendaron bio en 15 dias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" authorId="0" shapeId="0" xr:uid="{F6AC58DD-8327-4AE4-A101-C1945F8DA0DD}">
      <text>
        <r>
          <rPr>
            <b/>
            <sz val="9"/>
            <color indexed="81"/>
            <rFont val="Tahoma"/>
            <family val="2"/>
          </rPr>
          <t>1 ruth cliente dice que tiene ojo seco pidio solo evaluacion</t>
        </r>
      </text>
    </comment>
    <comment ref="S8" authorId="0" shapeId="0" xr:uid="{21A7F429-4BAE-4E61-89D9-6F92FDD2CF4E}">
      <text>
        <r>
          <rPr>
            <b/>
            <sz val="9"/>
            <color indexed="81"/>
            <rFont val="Tahoma"/>
            <family val="2"/>
          </rPr>
          <t xml:space="preserve">1 palacio , cliente indica que desea una bio y que le hidraten sus extenciones salio a sacar dineroy se fue </t>
        </r>
      </text>
    </comment>
    <comment ref="T8" authorId="0" shapeId="0" xr:uid="{31FAD9EF-FFD9-4CAE-A31D-2D5D80FEBA6C}">
      <text>
        <r>
          <rPr>
            <b/>
            <sz val="9"/>
            <color indexed="81"/>
            <rFont val="Tahoma"/>
            <family val="2"/>
          </rPr>
          <t>1 loreni
1 michel
1 katerine</t>
        </r>
      </text>
    </comment>
    <comment ref="X8" authorId="0" shapeId="0" xr:uid="{B523502A-FC8F-49A5-882C-06B07AC00F8E}">
      <text>
        <r>
          <rPr>
            <sz val="9"/>
            <color indexed="81"/>
            <rFont val="Tahoma"/>
            <family val="2"/>
          </rPr>
          <t xml:space="preserve">1 sandy
</t>
        </r>
      </text>
    </comment>
    <comment ref="Y8" authorId="0" shapeId="0" xr:uid="{9224CE9C-1461-457C-BCFE-5CD0CBAC9704}">
      <text>
        <r>
          <rPr>
            <sz val="9"/>
            <color indexed="81"/>
            <rFont val="Tahoma"/>
            <family val="2"/>
          </rPr>
          <t xml:space="preserve">1 sin nombre
</t>
        </r>
      </text>
    </comment>
    <comment ref="G19" authorId="0" shapeId="0" xr:uid="{2DD21E01-A293-4C53-854B-B2D069B47D9B}">
      <text>
        <r>
          <rPr>
            <b/>
            <sz val="9"/>
            <color indexed="81"/>
            <rFont val="Tahoma"/>
            <family val="2"/>
          </rPr>
          <t>1 sofia no paso trial y no queria termoctivo</t>
        </r>
      </text>
    </comment>
    <comment ref="H19" authorId="0" shapeId="0" xr:uid="{90C3532D-0320-43ED-A496-5471CD156901}">
      <text>
        <r>
          <rPr>
            <sz val="9"/>
            <color indexed="81"/>
            <rFont val="Tahoma"/>
            <family val="2"/>
          </rPr>
          <t xml:space="preserve">1 joselyn, sin motivo llamar 
</t>
        </r>
      </text>
    </comment>
    <comment ref="K19" authorId="0" shapeId="0" xr:uid="{3364BA31-F076-4B59-A09C-53169FC29E73}">
      <text>
        <r>
          <rPr>
            <sz val="9"/>
            <color indexed="81"/>
            <rFont val="Tahoma"/>
            <family val="2"/>
          </rPr>
          <t xml:space="preserve">1 ana
1 yoselin
</t>
        </r>
      </text>
    </comment>
    <comment ref="L19" authorId="0" shapeId="0" xr:uid="{20C12D17-CA07-44E8-BC38-8AA3967FB295}">
      <text>
        <r>
          <rPr>
            <b/>
            <sz val="9"/>
            <color indexed="81"/>
            <rFont val="Tahoma"/>
            <family val="2"/>
          </rPr>
          <t>1 flor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9" authorId="0" shapeId="0" xr:uid="{BB6E807A-6CC2-4A15-9696-2DC14859085E}">
      <text>
        <r>
          <rPr>
            <b/>
            <sz val="9"/>
            <color indexed="81"/>
            <rFont val="Tahoma"/>
            <family val="2"/>
          </rPr>
          <t>1 karina
1 oneida</t>
        </r>
      </text>
    </comment>
    <comment ref="U19" authorId="0" shapeId="0" xr:uid="{8E7891B1-6FB4-4C32-8F83-97B7565D0DB0}">
      <text>
        <r>
          <rPr>
            <b/>
            <sz val="9"/>
            <color indexed="81"/>
            <rFont val="Tahoma"/>
            <family val="2"/>
          </rPr>
          <t>1 osmery</t>
        </r>
      </text>
    </comment>
    <comment ref="Y19" authorId="0" shapeId="0" xr:uid="{5B3F9658-4B22-4AF6-8385-A52554A60341}">
      <text>
        <r>
          <rPr>
            <b/>
            <sz val="9"/>
            <color indexed="81"/>
            <rFont val="Tahoma"/>
            <family val="2"/>
          </rPr>
          <t>1 ana</t>
        </r>
      </text>
    </comment>
    <comment ref="B30" authorId="0" shapeId="0" xr:uid="{F6877EF0-B78B-4648-AB59-FB9EA1021FB7}">
      <text>
        <r>
          <rPr>
            <b/>
            <sz val="9"/>
            <color indexed="81"/>
            <rFont val="Tahoma"/>
            <family val="2"/>
          </rPr>
          <t>1 leo cliente indesisa</t>
        </r>
      </text>
    </comment>
    <comment ref="C30" authorId="0" shapeId="0" xr:uid="{C7F929C9-A6BA-46AB-8A5D-53372311BB63}">
      <text>
        <r>
          <rPr>
            <b/>
            <sz val="9"/>
            <color indexed="81"/>
            <rFont val="Tahoma"/>
            <family val="2"/>
          </rPr>
          <t>1 carlos</t>
        </r>
      </text>
    </comment>
    <comment ref="D30" authorId="0" shapeId="0" xr:uid="{9EF6CEDB-56F1-4CE3-B47E-5AD0D7E29E77}">
      <text>
        <r>
          <rPr>
            <b/>
            <sz val="9"/>
            <color indexed="81"/>
            <rFont val="Tahoma"/>
            <family val="2"/>
          </rPr>
          <t>1 leo</t>
        </r>
      </text>
    </comment>
    <comment ref="F30" authorId="0" shapeId="0" xr:uid="{2429ED16-E9B1-44C4-BDD3-22969EAAB6FF}">
      <text>
        <r>
          <rPr>
            <sz val="9"/>
            <color indexed="81"/>
            <rFont val="Tahoma"/>
            <family val="2"/>
          </rPr>
          <t xml:space="preserve">1 sofia ella solo queria trial nada de secadora la aborde le ofreci pero no quiso nada termoactivo , no se descuenta
</t>
        </r>
      </text>
    </comment>
    <comment ref="H30" authorId="0" shapeId="0" xr:uid="{3939EC50-B019-4FA8-AB5E-70C09B67A065}">
      <text>
        <r>
          <rPr>
            <sz val="9"/>
            <color indexed="81"/>
            <rFont val="Tahoma"/>
            <family val="2"/>
          </rPr>
          <t xml:space="preserve">1 carlos sse le ofrecio dual en 300 y su hermana que era quien pagaba no quiso, se le ofrecio en 100 tabien, descuento 
</t>
        </r>
      </text>
    </comment>
    <comment ref="I30" authorId="0" shapeId="0" xr:uid="{B5FECB54-3CA3-4B3D-92CB-AE35D4407689}">
      <text>
        <r>
          <rPr>
            <sz val="9"/>
            <color indexed="81"/>
            <rFont val="Tahoma"/>
            <family val="2"/>
          </rPr>
          <t xml:space="preserve">1 leo queria color y bio al mismo tiempo y solo tenia 100
</t>
        </r>
      </text>
    </comment>
    <comment ref="J30" authorId="0" shapeId="0" xr:uid="{3558C262-F2EB-408E-ACD0-5E7ABAA67F02}">
      <text>
        <r>
          <rPr>
            <sz val="9"/>
            <color indexed="81"/>
            <rFont val="Tahoma"/>
            <family val="2"/>
          </rPr>
          <t xml:space="preserve">1 SOFIA DESCUENTO
1 ALEJANDRA DESCUENTO, cliente regrso el 10
</t>
        </r>
      </text>
    </comment>
    <comment ref="K30" authorId="0" shapeId="0" xr:uid="{FB8DDB27-2547-436F-A770-C57D9A430FC6}">
      <text>
        <r>
          <rPr>
            <b/>
            <sz val="9"/>
            <color indexed="81"/>
            <rFont val="Tahoma"/>
            <family val="2"/>
          </rPr>
          <t>1 leo
1 alejandra s quejo de la atencion desde la recepcion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" authorId="0" shapeId="0" xr:uid="{419983D4-BBEF-461B-8C73-451F5D424E90}">
      <text>
        <r>
          <rPr>
            <b/>
            <sz val="9"/>
            <color indexed="81"/>
            <rFont val="Tahoma"/>
            <family val="2"/>
          </rPr>
          <t xml:space="preserve">xavier : cliente dice que la musica muy alta no dejaba escuchar bien la explicacion luego el joven busco a la administradora y se fue a sentar con cara de fastidio, visualmente no me gusto su actitud asi que decidi irme , pero igual me explicaron todo </t>
        </r>
      </text>
    </comment>
    <comment ref="N30" authorId="0" shapeId="0" xr:uid="{963FB559-7252-48B2-8DD8-48391BF9C0C4}">
      <text>
        <r>
          <rPr>
            <sz val="9"/>
            <color indexed="81"/>
            <rFont val="Tahoma"/>
            <family val="2"/>
          </rPr>
          <t xml:space="preserve">saray cliente queria si o si trial cabello decolorado 
</t>
        </r>
      </text>
    </comment>
    <comment ref="O30" authorId="0" shapeId="0" xr:uid="{94454697-A58A-40DC-B3B8-6536D6FFA73A}">
      <text>
        <r>
          <rPr>
            <b/>
            <sz val="9"/>
            <color indexed="81"/>
            <rFont val="Tahoma"/>
            <family val="2"/>
          </rPr>
          <t>alejandra 
xabier
saray</t>
        </r>
      </text>
    </comment>
    <comment ref="P30" authorId="0" shapeId="0" xr:uid="{16AA469C-D445-49F6-A104-36B7DEE45F5B}">
      <text>
        <r>
          <rPr>
            <sz val="9"/>
            <color indexed="81"/>
            <rFont val="Tahoma"/>
            <family val="2"/>
          </rPr>
          <t xml:space="preserve">alejandra
sofia
leo descuento
</t>
        </r>
      </text>
    </comment>
    <comment ref="V30" authorId="0" shapeId="0" xr:uid="{655C80DD-E2C6-4091-ACD4-85F03E35417A}">
      <text>
        <r>
          <rPr>
            <b/>
            <sz val="9"/>
            <color indexed="81"/>
            <rFont val="Tahoma"/>
            <family val="2"/>
          </rPr>
          <t>1 saray
1 xavier</t>
        </r>
      </text>
    </comment>
    <comment ref="X30" authorId="0" shapeId="0" xr:uid="{455BAD23-BCF6-4A2C-AAE0-8115E08B75B0}">
      <text>
        <r>
          <rPr>
            <b/>
            <sz val="9"/>
            <color indexed="81"/>
            <rFont val="Tahoma"/>
            <family val="2"/>
          </rPr>
          <t>3 xavier</t>
        </r>
      </text>
    </comment>
    <comment ref="Y30" authorId="0" shapeId="0" xr:uid="{220994AE-F85A-4C45-B45C-90AC5EBA8795}">
      <text>
        <r>
          <rPr>
            <b/>
            <sz val="9"/>
            <color indexed="81"/>
            <rFont val="Tahoma"/>
            <family val="2"/>
          </rPr>
          <t>2 sofia
1 saray</t>
        </r>
      </text>
    </comment>
    <comment ref="AA30" authorId="0" shapeId="0" xr:uid="{5ED2747B-2564-4ED6-8940-57D77451B0C4}">
      <text>
        <r>
          <rPr>
            <b/>
            <sz val="9"/>
            <color indexed="81"/>
            <rFont val="Tahoma"/>
            <family val="2"/>
          </rPr>
          <t>1 saray
1 xavier</t>
        </r>
      </text>
    </comment>
    <comment ref="AC30" authorId="0" shapeId="0" xr:uid="{065FA544-1A75-4241-950F-CF06708901D8}">
      <text>
        <r>
          <rPr>
            <b/>
            <sz val="9"/>
            <color indexed="81"/>
            <rFont val="Tahoma"/>
            <family val="2"/>
          </rPr>
          <t>2 xavier
1 erika
1 no se abordo</t>
        </r>
      </text>
    </comment>
    <comment ref="S37" authorId="0" shapeId="0" xr:uid="{CE573AA8-319B-4FE1-99B5-4CC13C4A47CD}">
      <text>
        <r>
          <rPr>
            <b/>
            <sz val="9"/>
            <color indexed="81"/>
            <rFont val="Tahoma"/>
            <family val="2"/>
          </rPr>
          <t>1 era botoz de obsequio</t>
        </r>
      </text>
    </comment>
    <comment ref="C41" authorId="0" shapeId="0" xr:uid="{8E5DE0C1-6F7F-4E07-89CF-7FF05BC9E44F}">
      <text>
        <r>
          <rPr>
            <b/>
            <sz val="9"/>
            <color indexed="81"/>
            <rFont val="Tahoma"/>
            <family val="2"/>
          </rPr>
          <t>1 rosangela</t>
        </r>
      </text>
    </comment>
    <comment ref="M41" authorId="0" shapeId="0" xr:uid="{1F6DCACD-75D2-4C0F-A5A0-8624B1DABB6B}">
      <text>
        <r>
          <rPr>
            <b/>
            <sz val="9"/>
            <color indexed="81"/>
            <rFont val="Tahoma"/>
            <family val="2"/>
          </rPr>
          <t>1 celeste descuento</t>
        </r>
      </text>
    </comment>
    <comment ref="Q41" authorId="0" shapeId="0" xr:uid="{D869E031-8757-4B5A-92C2-EA44D6C93A22}">
      <text>
        <r>
          <rPr>
            <b/>
            <sz val="9"/>
            <color indexed="81"/>
            <rFont val="Tahoma"/>
            <family val="2"/>
          </rPr>
          <t>1 celeste</t>
        </r>
      </text>
    </comment>
    <comment ref="T41" authorId="0" shapeId="0" xr:uid="{601576A1-8EC1-4D09-90A9-081A173CCA0B}">
      <text>
        <r>
          <rPr>
            <b/>
            <sz val="9"/>
            <color indexed="81"/>
            <rFont val="Tahoma"/>
            <family val="2"/>
          </rPr>
          <t>1 rosangela</t>
        </r>
      </text>
    </comment>
    <comment ref="V41" authorId="0" shapeId="0" xr:uid="{4B1D367E-6561-44BF-98D9-E904BACF1D6B}">
      <text>
        <r>
          <rPr>
            <b/>
            <sz val="9"/>
            <color indexed="81"/>
            <rFont val="Tahoma"/>
            <family val="2"/>
          </rPr>
          <t>1 rosangela</t>
        </r>
      </text>
    </comment>
    <comment ref="W41" authorId="0" shapeId="0" xr:uid="{9D5EC48A-F6DE-4380-843D-DA266AAF3CF3}">
      <text>
        <r>
          <rPr>
            <b/>
            <sz val="9"/>
            <color indexed="81"/>
            <rFont val="Tahoma"/>
            <family val="2"/>
          </rPr>
          <t>1 celeste</t>
        </r>
      </text>
    </comment>
    <comment ref="B52" authorId="0" shapeId="0" xr:uid="{31D3A9FD-5270-4F7E-A76C-1013B4DD7754}">
      <text>
        <r>
          <rPr>
            <b/>
            <sz val="9"/>
            <color indexed="81"/>
            <rFont val="Tahoma"/>
            <family val="2"/>
          </rPr>
          <t>1 heidy</t>
        </r>
      </text>
    </comment>
    <comment ref="C52" authorId="0" shapeId="0" xr:uid="{09D5A187-D73A-44D8-984D-98FFF69BDBD5}">
      <text>
        <r>
          <rPr>
            <b/>
            <sz val="9"/>
            <color indexed="81"/>
            <rFont val="Tahoma"/>
            <family val="2"/>
          </rPr>
          <t>1 vanesa</t>
        </r>
      </text>
    </comment>
    <comment ref="E52" authorId="0" shapeId="0" xr:uid="{C61AE822-11FD-41D8-9613-89DBE59CB415}">
      <text>
        <r>
          <rPr>
            <sz val="9"/>
            <color indexed="81"/>
            <rFont val="Tahoma"/>
            <family val="2"/>
          </rPr>
          <t xml:space="preserve">3 pablo
1 vanesa
</t>
        </r>
      </text>
    </comment>
    <comment ref="F52" authorId="0" shapeId="0" xr:uid="{78AF779B-39FA-40D0-9091-2E739B2C1C07}">
      <text>
        <r>
          <rPr>
            <b/>
            <sz val="9"/>
            <color indexed="81"/>
            <rFont val="Tahoma"/>
            <family val="2"/>
          </rPr>
          <t>2 pablo
1 elsy</t>
        </r>
      </text>
    </comment>
    <comment ref="H52" authorId="0" shapeId="0" xr:uid="{BB3450EC-7393-4EA4-B2D5-A49F281D2FA7}">
      <text>
        <r>
          <rPr>
            <sz val="9"/>
            <color indexed="81"/>
            <rFont val="Tahoma"/>
            <family val="2"/>
          </rPr>
          <t xml:space="preserve">1 elsy 
</t>
        </r>
      </text>
    </comment>
    <comment ref="I52" authorId="0" shapeId="0" xr:uid="{D091F75F-E653-4AB1-AC55-0225403914F7}">
      <text>
        <r>
          <rPr>
            <b/>
            <sz val="9"/>
            <color indexed="81"/>
            <rFont val="Tahoma"/>
            <family val="2"/>
          </rPr>
          <t>1 pablo</t>
        </r>
      </text>
    </comment>
    <comment ref="J52" authorId="0" shapeId="0" xr:uid="{6180412C-E6C4-4065-BA10-CC7C225B408E}">
      <text>
        <r>
          <rPr>
            <sz val="9"/>
            <color indexed="81"/>
            <rFont val="Tahoma"/>
            <family val="2"/>
          </rPr>
          <t xml:space="preserve">1 VANESSA asistio por bioplastia pero no queria activarse , dice que la publicidad no dice que es termoactivo (no se descuenta)
1 ELSY no responde
1 ELSY no responde no le gusto el trato ni pr redes ni por salon </t>
        </r>
      </text>
    </comment>
    <comment ref="K52" authorId="0" shapeId="0" xr:uid="{EAD5E8BD-C4CD-40D2-9BD6-7790C7D36D44}">
      <text>
        <r>
          <rPr>
            <b/>
            <sz val="9"/>
            <color indexed="81"/>
            <rFont val="Tahoma"/>
            <family val="2"/>
          </rPr>
          <t xml:space="preserve">1 elsy mal ambiente laboral , agendo cita y nadie sabia </t>
        </r>
      </text>
    </comment>
    <comment ref="L52" authorId="0" shapeId="0" xr:uid="{5A03C5F4-C722-45D4-9557-4652F4612E69}">
      <text>
        <r>
          <rPr>
            <sz val="9"/>
            <color indexed="81"/>
            <rFont val="Tahoma"/>
            <family val="2"/>
          </rPr>
          <t xml:space="preserve">1 pablo, cliente se molesto porque no estaba en el sistema y salon no sabia sus datos se retiro
1 vanesa
</t>
        </r>
      </text>
    </comment>
    <comment ref="M52" authorId="0" shapeId="0" xr:uid="{649A3F29-9B8E-4EF1-B7DA-BC678FFDC3F9}">
      <text>
        <r>
          <rPr>
            <b/>
            <sz val="9"/>
            <color indexed="81"/>
            <rFont val="Tahoma"/>
            <family val="2"/>
          </rPr>
          <t xml:space="preserve">1 pablo se retira por mala atencion 
1 pablo indico que la querian hacer abonar y no le gusto 
1 elsy cliente queria color en 120 y se lleva 3 tintes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2" authorId="0" shapeId="0" xr:uid="{0051E9A1-E743-4D5C-BCC3-78C0181AF508}">
      <text>
        <r>
          <rPr>
            <b/>
            <sz val="9"/>
            <color indexed="81"/>
            <rFont val="Tahoma"/>
            <family val="2"/>
          </rPr>
          <t>1 vanessa</t>
        </r>
      </text>
    </comment>
    <comment ref="S52" authorId="0" shapeId="0" xr:uid="{0D42DD06-8C84-4A24-BC6B-DECD4DC3D527}">
      <text>
        <r>
          <rPr>
            <b/>
            <sz val="9"/>
            <color indexed="81"/>
            <rFont val="Tahoma"/>
            <family val="2"/>
          </rPr>
          <t>2 pablo</t>
        </r>
      </text>
    </comment>
    <comment ref="T52" authorId="0" shapeId="0" xr:uid="{8E8252CC-F059-47A3-851A-A9C485829FD7}">
      <text>
        <r>
          <rPr>
            <b/>
            <sz val="9"/>
            <color indexed="81"/>
            <rFont val="Tahoma"/>
            <family val="2"/>
          </rPr>
          <t>1 andri
1 elsy</t>
        </r>
      </text>
    </comment>
    <comment ref="R81" authorId="0" shapeId="0" xr:uid="{FF75F01C-A2E6-4447-A8B9-CBE5FCE78588}">
      <text>
        <r>
          <rPr>
            <b/>
            <sz val="9"/>
            <color indexed="81"/>
            <rFont val="Tahoma"/>
            <family val="2"/>
          </rPr>
          <t>6 fueron enviadas a chico por falta de luz</t>
        </r>
      </text>
    </comment>
    <comment ref="C92" authorId="0" shapeId="0" xr:uid="{86A781B5-2764-43CB-BEE2-25006D0C191E}">
      <text>
        <r>
          <rPr>
            <b/>
            <sz val="9"/>
            <color indexed="81"/>
            <rFont val="Tahoma"/>
            <family val="2"/>
          </rPr>
          <t>aparte asistieron 4 por botox de obsequio</t>
        </r>
      </text>
    </comment>
    <comment ref="D92" authorId="0" shapeId="0" xr:uid="{BC8575A3-CA9F-4C1D-A5C1-23F3169ED5AF}">
      <text>
        <r>
          <rPr>
            <b/>
            <sz val="9"/>
            <color indexed="81"/>
            <rFont val="Tahoma"/>
            <family val="2"/>
          </rPr>
          <t>aparte asistieron 4 botox de obsequio</t>
        </r>
      </text>
    </comment>
    <comment ref="K92" authorId="0" shapeId="0" xr:uid="{CCD2B473-C144-4A64-802C-A16E25888969}">
      <text>
        <r>
          <rPr>
            <b/>
            <sz val="9"/>
            <color indexed="81"/>
            <rFont val="Tahoma"/>
            <family val="2"/>
          </rPr>
          <t>aparte asistieron 5 botox de obsequios
y 5 clientes eran de leones</t>
        </r>
      </text>
    </comment>
    <comment ref="Q92" authorId="0" shapeId="0" xr:uid="{EDFD4F1F-A300-4FA3-9918-1DD2C51A20B9}">
      <text>
        <r>
          <rPr>
            <b/>
            <sz val="9"/>
            <color indexed="81"/>
            <rFont val="Tahoma"/>
            <family val="2"/>
          </rPr>
          <t>7 de leones
8 botox de obsequio</t>
        </r>
      </text>
    </comment>
    <comment ref="R92" authorId="0" shapeId="0" xr:uid="{B8A3C6D6-AB09-4120-9992-14B301EBA8F1}">
      <text>
        <r>
          <rPr>
            <b/>
            <sz val="9"/>
            <color indexed="81"/>
            <rFont val="Tahoma"/>
            <family val="2"/>
          </rPr>
          <t>9 botox de obsequio
2 de leones</t>
        </r>
      </text>
    </comment>
    <comment ref="S92" authorId="0" shapeId="0" xr:uid="{379F4A94-E47C-4869-8E0D-BAAC52CD1EC2}">
      <text>
        <r>
          <rPr>
            <b/>
            <sz val="9"/>
            <color indexed="81"/>
            <rFont val="Tahoma"/>
            <family val="2"/>
          </rPr>
          <t>1 botox de obsequio</t>
        </r>
      </text>
    </comment>
    <comment ref="T92" authorId="0" shapeId="0" xr:uid="{B7E86C52-5CA7-437A-BCA4-0EDF3360C013}">
      <text>
        <r>
          <rPr>
            <b/>
            <sz val="9"/>
            <color indexed="81"/>
            <rFont val="Tahoma"/>
            <family val="2"/>
          </rPr>
          <t>1 leones</t>
        </r>
      </text>
    </comment>
    <comment ref="U92" authorId="0" shapeId="0" xr:uid="{41F784A6-3ADC-43AD-9B03-82C26ECB4E98}">
      <text>
        <r>
          <rPr>
            <b/>
            <sz val="9"/>
            <color indexed="81"/>
            <rFont val="Tahoma"/>
            <family val="2"/>
          </rPr>
          <t>4 leones</t>
        </r>
      </text>
    </comment>
    <comment ref="X92" authorId="0" shapeId="0" xr:uid="{85C3DC93-669B-4D59-9FCC-71E07B3905F7}">
      <text>
        <r>
          <rPr>
            <b/>
            <sz val="9"/>
            <color indexed="81"/>
            <rFont val="Tahoma"/>
            <family val="2"/>
          </rPr>
          <t>8 de botox de obsequio</t>
        </r>
      </text>
    </comment>
    <comment ref="Y92" authorId="0" shapeId="0" xr:uid="{99BF9676-EE73-4A56-8BE7-A67D632BCBC9}">
      <text>
        <r>
          <rPr>
            <b/>
            <sz val="9"/>
            <color indexed="81"/>
            <rFont val="Tahoma"/>
            <family val="2"/>
          </rPr>
          <t>21 de botox de obsequio</t>
        </r>
      </text>
    </comment>
    <comment ref="Z92" authorId="0" shapeId="0" xr:uid="{5F332DEA-43C1-4E0E-9F6D-6ED86A7C6695}">
      <text>
        <r>
          <rPr>
            <b/>
            <sz val="9"/>
            <color indexed="81"/>
            <rFont val="Tahoma"/>
            <family val="2"/>
          </rPr>
          <t>1 de botox de obsequio</t>
        </r>
      </text>
    </comment>
    <comment ref="C103" authorId="0" shapeId="0" xr:uid="{2506A232-8FC2-4ABD-999E-E85992EA5AB5}">
      <text>
        <r>
          <rPr>
            <b/>
            <sz val="9"/>
            <color indexed="81"/>
            <rFont val="Tahoma"/>
            <family val="2"/>
          </rPr>
          <t>aparte asistieron 12 botox de obsequio</t>
        </r>
      </text>
    </comment>
    <comment ref="D103" authorId="0" shapeId="0" xr:uid="{3F9DBF12-FCA5-49A2-BE6A-B7276321F381}">
      <text>
        <r>
          <rPr>
            <b/>
            <sz val="9"/>
            <color indexed="81"/>
            <rFont val="Tahoma"/>
            <family val="2"/>
          </rPr>
          <t>aparte asistieron 8 botox de obsequio</t>
        </r>
      </text>
    </comment>
    <comment ref="J103" authorId="0" shapeId="0" xr:uid="{1C61C476-FFAA-4D7D-BA2E-44A9C3961DC0}">
      <text>
        <r>
          <rPr>
            <b/>
            <sz val="9"/>
            <color indexed="81"/>
            <rFont val="Tahoma"/>
            <family val="2"/>
          </rPr>
          <t>aparte asistieron 11 de botox de obsequo</t>
        </r>
      </text>
    </comment>
    <comment ref="K103" authorId="0" shapeId="0" xr:uid="{6BFBDAC5-5306-4CBA-8D94-853491BE171F}">
      <text>
        <r>
          <rPr>
            <b/>
            <sz val="9"/>
            <color indexed="81"/>
            <rFont val="Tahoma"/>
            <family val="2"/>
          </rPr>
          <t>aparte asisktieron 10 clientes de botox de obsequios</t>
        </r>
      </text>
    </comment>
    <comment ref="L103" authorId="0" shapeId="0" xr:uid="{B720E201-1A24-4E1F-A184-159A5F2C517E}">
      <text>
        <r>
          <rPr>
            <sz val="9"/>
            <color indexed="81"/>
            <rFont val="Tahoma"/>
            <family val="2"/>
          </rPr>
          <t xml:space="preserve">asistio una aparte por botox de obsequio promo
</t>
        </r>
      </text>
    </comment>
    <comment ref="N103" authorId="0" shapeId="0" xr:uid="{663280C8-350F-4862-8BC1-35CF2935741F}">
      <text>
        <r>
          <rPr>
            <b/>
            <sz val="9"/>
            <color indexed="81"/>
            <rFont val="Tahoma"/>
            <family val="2"/>
          </rPr>
          <t>aparte 1 que aasistio por botox de obsequio</t>
        </r>
      </text>
    </comment>
    <comment ref="Q103" authorId="0" shapeId="0" xr:uid="{4292CC41-E4CA-4590-9A3F-095DA68D9772}">
      <text>
        <r>
          <rPr>
            <b/>
            <sz val="9"/>
            <color indexed="81"/>
            <rFont val="Tahoma"/>
            <family val="2"/>
          </rPr>
          <t>7 botox de obsequio</t>
        </r>
      </text>
    </comment>
    <comment ref="R103" authorId="0" shapeId="0" xr:uid="{D86AD107-EB58-4202-A2CF-BB07487BB4A0}">
      <text>
        <r>
          <rPr>
            <b/>
            <sz val="9"/>
            <color indexed="81"/>
            <rFont val="Tahoma"/>
            <family val="2"/>
          </rPr>
          <t>7 botox de obsequio</t>
        </r>
      </text>
    </comment>
    <comment ref="S103" authorId="0" shapeId="0" xr:uid="{F5157DD3-82F0-4D48-8F14-99F7AE6CDC33}">
      <text>
        <r>
          <rPr>
            <b/>
            <sz val="9"/>
            <color indexed="81"/>
            <rFont val="Tahoma"/>
            <family val="2"/>
          </rPr>
          <t>2 botox de obdequio</t>
        </r>
      </text>
    </comment>
    <comment ref="U103" authorId="0" shapeId="0" xr:uid="{4047E081-1C82-42AA-A1FE-C228E7D329B1}">
      <text>
        <r>
          <rPr>
            <b/>
            <sz val="9"/>
            <color indexed="81"/>
            <rFont val="Tahoma"/>
            <family val="2"/>
          </rPr>
          <t>1 botox de obsequio</t>
        </r>
      </text>
    </comment>
    <comment ref="X103" authorId="0" shapeId="0" xr:uid="{5D146B25-4B3F-4B6E-98EA-313A376927C2}">
      <text>
        <r>
          <rPr>
            <b/>
            <sz val="9"/>
            <color indexed="81"/>
            <rFont val="Tahoma"/>
            <family val="2"/>
          </rPr>
          <t>aparte 11 de botox de obsequio</t>
        </r>
      </text>
    </comment>
    <comment ref="Y103" authorId="0" shapeId="0" xr:uid="{F9F09FBF-DBF2-4062-B2DF-8E0636C60B5F}">
      <text>
        <r>
          <rPr>
            <b/>
            <sz val="9"/>
            <color indexed="81"/>
            <rFont val="Tahoma"/>
            <family val="2"/>
          </rPr>
          <t>aparte 11 de botox de obseuio</t>
        </r>
      </text>
    </comment>
    <comment ref="Z118" authorId="0" shapeId="0" xr:uid="{35252FDA-D988-4B6D-AC3C-2AA3EBED7228}">
      <text>
        <r>
          <rPr>
            <b/>
            <sz val="9"/>
            <color indexed="81"/>
            <rFont val="Tahoma"/>
            <family val="2"/>
          </rPr>
          <t xml:space="preserve">Franco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B8" authorId="0" shapeId="0" xr:uid="{C8A8D400-BD96-4064-BD65-B53CE5DD540B}">
      <text>
        <r>
          <rPr>
            <sz val="9"/>
            <color indexed="81"/>
            <rFont val="Tahoma"/>
            <family val="2"/>
          </rPr>
          <t xml:space="preserve">2 loreny
2 luz
1 catheriine
1 rossana
</t>
        </r>
      </text>
    </comment>
    <comment ref="C8" authorId="0" shapeId="0" xr:uid="{2D6B15FE-3854-41E1-9671-FB5F5AEC1A7A}">
      <text>
        <r>
          <rPr>
            <b/>
            <sz val="9"/>
            <color indexed="81"/>
            <rFont val="Tahoma"/>
            <family val="2"/>
          </rPr>
          <t>1 loreny queria org + color 240 la asesora l dio precio
1 josefina 
1 catherine cliente se fue por el olor d los productos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95FE49AC-489B-4BD8-A098-4B57A341D5B6}">
      <text>
        <r>
          <rPr>
            <sz val="9"/>
            <color indexed="81"/>
            <rFont val="Tahoma"/>
            <family val="2"/>
          </rPr>
          <t xml:space="preserve">1 luz
</t>
        </r>
      </text>
    </comment>
    <comment ref="G8" authorId="0" shapeId="0" xr:uid="{1263A23C-22D3-4664-9B6F-BEF71F0FFABA}">
      <text>
        <r>
          <rPr>
            <b/>
            <sz val="9"/>
            <color indexed="81"/>
            <rFont val="Tahoma"/>
            <family val="2"/>
          </rPr>
          <t>routh</t>
        </r>
      </text>
    </comment>
    <comment ref="I8" authorId="0" shapeId="0" xr:uid="{4D8EBD43-DDAB-44B3-B4F8-38BBFC6B8B90}">
      <text>
        <r>
          <rPr>
            <sz val="9"/>
            <color indexed="81"/>
            <rFont val="Tahoma"/>
            <family val="2"/>
          </rPr>
          <t xml:space="preserve">1 palacios
1 queria corte no teniamos estilista para corte
</t>
        </r>
      </text>
    </comment>
    <comment ref="K8" authorId="0" shapeId="0" xr:uid="{2D4843F6-8478-4C9C-97A0-4A1BE4DEB1A8}">
      <text>
        <r>
          <rPr>
            <b/>
            <sz val="9"/>
            <color indexed="81"/>
            <rFont val="Tahoma"/>
            <family val="2"/>
          </rPr>
          <t>1 michael, cliente indica que solo desea evaluarce</t>
        </r>
      </text>
    </comment>
    <comment ref="L8" authorId="0" shapeId="0" xr:uid="{01EC8407-BD03-4D68-BFBF-92CB587CC4E8}">
      <text>
        <r>
          <rPr>
            <b/>
            <sz val="9"/>
            <color indexed="81"/>
            <rFont val="Tahoma"/>
            <family val="2"/>
          </rPr>
          <t>1 luz cliente queria trial , y la asesora le dijo que si podia en su cabello decolorado</t>
        </r>
      </text>
    </comment>
    <comment ref="N8" authorId="0" shapeId="0" xr:uid="{0612A87E-924D-4072-BD9C-FB1C5BF9EB43}">
      <text>
        <r>
          <rPr>
            <b/>
            <sz val="9"/>
            <color indexed="81"/>
            <rFont val="Tahoma"/>
            <family val="2"/>
          </rPr>
          <t>palacios cliente afro fue para trial pero necesitaba mas de 6 horas para hacerle pero la cliente no queria esperar</t>
        </r>
      </text>
    </comment>
    <comment ref="P8" authorId="0" shapeId="0" xr:uid="{9DF2FDF9-45E5-46FC-8419-1057FD6DCDB3}">
      <text>
        <r>
          <rPr>
            <b/>
            <sz val="9"/>
            <color indexed="81"/>
            <rFont val="Tahoma"/>
            <family val="2"/>
          </rPr>
          <t xml:space="preserve">ruth. Evaluacion </t>
        </r>
      </text>
    </comment>
    <comment ref="R8" authorId="0" shapeId="0" xr:uid="{C7716B61-FC67-4AE4-8B19-10011C950E59}">
      <text>
        <r>
          <rPr>
            <sz val="9"/>
            <color indexed="81"/>
            <rFont val="Tahoma"/>
            <family val="2"/>
          </rPr>
          <t xml:space="preserve">la cliente ingreso pero no dio sus datos y se fue molesta por falta de personal a las 8 am
</t>
        </r>
      </text>
    </comment>
    <comment ref="S8" authorId="0" shapeId="0" xr:uid="{8CC528F9-1703-4EC8-8859-C329951B2543}">
      <text>
        <r>
          <rPr>
            <sz val="9"/>
            <color indexed="81"/>
            <rFont val="Tahoma"/>
            <family val="2"/>
          </rPr>
          <t xml:space="preserve">cliente se retira por falta de estilistas 8 am 
</t>
        </r>
      </text>
    </comment>
    <comment ref="U8" authorId="0" shapeId="0" xr:uid="{951AAAC2-B813-4027-925D-510AAB32868A}">
      <text>
        <r>
          <rPr>
            <b/>
            <sz val="9"/>
            <color indexed="81"/>
            <rFont val="Tahoma"/>
            <family val="2"/>
          </rPr>
          <t xml:space="preserve">1 cherly no paso prueba trial no quiso termo activo </t>
        </r>
      </text>
    </comment>
    <comment ref="V8" authorId="0" shapeId="0" xr:uid="{4B4C8E33-14AC-4314-9540-C38840F36222}">
      <text>
        <r>
          <rPr>
            <sz val="9"/>
            <color indexed="81"/>
            <rFont val="Tahoma"/>
            <family val="2"/>
          </rPr>
          <t xml:space="preserve">1 michel 
2 luz 
</t>
        </r>
      </text>
    </comment>
    <comment ref="W8" authorId="0" shapeId="0" xr:uid="{0D570F79-E675-44B6-A5BE-9C493CF47473}">
      <text>
        <r>
          <rPr>
            <b/>
            <sz val="9"/>
            <color indexed="81"/>
            <rFont val="Tahoma"/>
            <family val="2"/>
          </rPr>
          <t xml:space="preserve">1 rossana reagendo </t>
        </r>
      </text>
    </comment>
    <comment ref="AB8" authorId="0" shapeId="0" xr:uid="{711C2252-07DF-4938-961D-51A6C602D5BA}">
      <text>
        <r>
          <rPr>
            <sz val="9"/>
            <color indexed="81"/>
            <rFont val="Tahoma"/>
            <family val="2"/>
          </rPr>
          <t xml:space="preserve"> 1 sin estilistas
</t>
        </r>
      </text>
    </comment>
    <comment ref="AF8" authorId="0" shapeId="0" xr:uid="{29ACEADA-396D-4244-A563-DEE2265044EA}">
      <text>
        <r>
          <rPr>
            <sz val="9"/>
            <color indexed="81"/>
            <rFont val="Tahoma"/>
            <family val="2"/>
          </rPr>
          <t xml:space="preserve">1 ruth descuento 
</t>
        </r>
      </text>
    </comment>
    <comment ref="AF15" authorId="0" shapeId="0" xr:uid="{D4A54731-6EEE-4265-A1A7-590DB93288C7}">
      <text>
        <r>
          <rPr>
            <b/>
            <sz val="9"/>
            <color indexed="81"/>
            <rFont val="Tahoma"/>
            <family val="2"/>
          </rPr>
          <t>1 botox de obsequio: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8" authorId="0" shapeId="0" xr:uid="{94490C7D-925D-481D-8551-4F3910186C2B}">
      <text>
        <r>
          <rPr>
            <b/>
            <sz val="9"/>
            <color indexed="81"/>
            <rFont val="Tahoma"/>
            <family val="2"/>
          </rPr>
          <t xml:space="preserve">abono servicio completo </t>
        </r>
      </text>
    </comment>
    <comment ref="L19" authorId="0" shapeId="0" xr:uid="{01E11731-5D96-49F2-B2FA-55C67263EC31}">
      <text>
        <r>
          <rPr>
            <b/>
            <sz val="9"/>
            <color indexed="81"/>
            <rFont val="Tahoma"/>
            <family val="2"/>
          </rPr>
          <t xml:space="preserve">osmery indico que solo iba a preguntar </t>
        </r>
      </text>
    </comment>
    <comment ref="N19" authorId="0" shapeId="0" xr:uid="{350C3E00-04CD-4F24-85CE-7E254C42CF2E}">
      <text>
        <r>
          <rPr>
            <b/>
            <sz val="9"/>
            <color indexed="81"/>
            <rFont val="Tahoma"/>
            <family val="2"/>
          </rPr>
          <t>1 karina cliente con rinoplastia</t>
        </r>
      </text>
    </comment>
    <comment ref="R19" authorId="0" shapeId="0" xr:uid="{7784655B-29CA-44AC-AD14-7AA2E6F10EDA}">
      <text>
        <r>
          <rPr>
            <b/>
            <sz val="9"/>
            <color indexed="81"/>
            <rFont val="Tahoma"/>
            <family val="2"/>
          </rPr>
          <t>1 flor cabello extralargo y abundante  queria pagar  solo 130</t>
        </r>
      </text>
    </comment>
    <comment ref="T19" authorId="0" shapeId="0" xr:uid="{62D57DC8-E23D-4C12-9919-522F8999E2D2}">
      <text>
        <r>
          <rPr>
            <b/>
            <sz val="9"/>
            <color indexed="81"/>
            <rFont val="Tahoma"/>
            <family val="2"/>
          </rPr>
          <t>alberly</t>
        </r>
      </text>
    </comment>
    <comment ref="U19" authorId="0" shapeId="0" xr:uid="{E1AEFA6C-86F4-4668-A768-E64118695090}">
      <text>
        <r>
          <rPr>
            <sz val="9"/>
            <color indexed="81"/>
            <rFont val="Tahoma"/>
            <family val="2"/>
          </rPr>
          <t xml:space="preserve">1 flor
1 alberlis 
llegaron juntas no quisieron nada termoactivo
</t>
        </r>
      </text>
    </comment>
    <comment ref="AE19" authorId="0" shapeId="0" xr:uid="{1E3F1025-79D9-4D71-845B-06B21C82C1A2}">
      <text>
        <r>
          <rPr>
            <sz val="9"/>
            <color indexed="81"/>
            <rFont val="Tahoma"/>
            <family val="2"/>
          </rPr>
          <t xml:space="preserve">1 sofia 
</t>
        </r>
      </text>
    </comment>
    <comment ref="AF19" authorId="0" shapeId="0" xr:uid="{BCD6646F-CCC9-49BA-9E60-E1B7F9C6318F}">
      <text>
        <r>
          <rPr>
            <b/>
            <sz val="9"/>
            <color indexed="81"/>
            <rFont val="Tahoma"/>
            <family val="2"/>
          </rPr>
          <t xml:space="preserve">1 sofia
1 flor </t>
        </r>
      </text>
    </comment>
    <comment ref="D30" authorId="0" shapeId="0" xr:uid="{51C144EE-9C78-465A-BFBA-928936AA3C3B}">
      <text>
        <r>
          <rPr>
            <b/>
            <sz val="9"/>
            <color indexed="81"/>
            <rFont val="Tahoma"/>
            <family val="2"/>
          </rPr>
          <t>1 YOSELIN 
dice que solo queria permanente dijo que en otro lado le hacen keratina permanente</t>
        </r>
      </text>
    </comment>
    <comment ref="G30" authorId="0" shapeId="0" xr:uid="{CD14122E-145F-469A-8286-6B79FFC187C3}">
      <text>
        <r>
          <rPr>
            <b/>
            <sz val="9"/>
            <color indexed="81"/>
            <rFont val="Tahoma"/>
            <family val="2"/>
          </rPr>
          <t xml:space="preserve">2 MILEIDY 
1 tenia el cabello quemado
1 tenia un bebe de brazos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6C1F41DC-0277-4D95-B096-61A020AB77DF}">
      <text>
        <r>
          <rPr>
            <b/>
            <sz val="9"/>
            <color indexed="81"/>
            <rFont val="Tahoma"/>
            <family val="2"/>
          </rPr>
          <t>1 xavier , cliente no se dejaba habalar y luego respondio , que es usted. Queda claro que no queria nada</t>
        </r>
      </text>
    </comment>
    <comment ref="T30" authorId="0" shapeId="0" xr:uid="{2367E457-F2F1-4FB5-911E-C5805AC92BC1}">
      <text>
        <r>
          <rPr>
            <sz val="9"/>
            <color indexed="81"/>
            <rFont val="Tahoma"/>
            <family val="2"/>
          </rPr>
          <t>1 saray
1 xavier descuento</t>
        </r>
      </text>
    </comment>
    <comment ref="X30" authorId="0" shapeId="0" xr:uid="{185340D0-3CA8-47B4-9F79-BBC22CC430EA}">
      <text>
        <r>
          <rPr>
            <sz val="9"/>
            <color indexed="81"/>
            <rFont val="Tahoma"/>
            <family val="2"/>
          </rPr>
          <t xml:space="preserve">1 erika
</t>
        </r>
      </text>
    </comment>
    <comment ref="Z30" authorId="0" shapeId="0" xr:uid="{2F241F75-3EF9-4AA7-A9D3-B2EE60628F9E}">
      <text>
        <r>
          <rPr>
            <sz val="9"/>
            <color indexed="81"/>
            <rFont val="Tahoma"/>
            <family val="2"/>
          </rPr>
          <t xml:space="preserve">1 erika
</t>
        </r>
      </text>
    </comment>
    <comment ref="AB30" authorId="0" shapeId="0" xr:uid="{765EBCA7-8283-43E4-BABE-C596A2699DB4}">
      <text>
        <r>
          <rPr>
            <sz val="9"/>
            <color indexed="81"/>
            <rFont val="Tahoma"/>
            <family val="2"/>
          </rPr>
          <t xml:space="preserve">sin estilista por falta de estilisras 
</t>
        </r>
      </text>
    </comment>
    <comment ref="AE30" authorId="0" shapeId="0" xr:uid="{2E116BD0-A26F-4D2D-9BF4-535AC31CFEF6}">
      <text>
        <r>
          <rPr>
            <sz val="9"/>
            <color indexed="81"/>
            <rFont val="Tahoma"/>
            <family val="2"/>
          </rPr>
          <t xml:space="preserve">1 erika 
</t>
        </r>
      </text>
    </comment>
    <comment ref="AF30" authorId="0" shapeId="0" xr:uid="{220FE3A8-D468-4406-924C-2DE57D955639}">
      <text>
        <r>
          <rPr>
            <sz val="9"/>
            <color indexed="81"/>
            <rFont val="Tahoma"/>
            <family val="2"/>
          </rPr>
          <t xml:space="preserve">3 sofia
1 saray
</t>
        </r>
      </text>
    </comment>
    <comment ref="H41" authorId="0" shapeId="0" xr:uid="{E019F296-BC9E-4AB2-8975-5120BBA7867F}">
      <text>
        <r>
          <rPr>
            <sz val="9"/>
            <color indexed="81"/>
            <rFont val="Tahoma"/>
            <family val="2"/>
          </rPr>
          <t xml:space="preserve">1 emilie
1 tatiana
</t>
        </r>
      </text>
    </comment>
    <comment ref="I41" authorId="0" shapeId="0" xr:uid="{C687D186-08A7-470F-9539-C1F672F96ECF}">
      <text>
        <r>
          <rPr>
            <sz val="9"/>
            <color indexed="81"/>
            <rFont val="Tahoma"/>
            <family val="2"/>
          </rPr>
          <t xml:space="preserve">1 ana cliente se levanto del lavacabezas y dijo que tenia una reunion que la asesora le dijo que el proceso eran dos horas 
</t>
        </r>
      </text>
    </comment>
    <comment ref="J41" authorId="0" shapeId="0" xr:uid="{AFEAA835-D179-41C7-A215-208F5CF12127}">
      <text>
        <r>
          <rPr>
            <b/>
            <sz val="9"/>
            <color indexed="81"/>
            <rFont val="Tahoma"/>
            <family val="2"/>
          </rPr>
          <t>1 tatiana no desea termoactivo</t>
        </r>
      </text>
    </comment>
    <comment ref="AA41" authorId="0" shapeId="0" xr:uid="{88E7072F-80F0-4E61-B82D-A6FA8BD6D28D}">
      <text>
        <r>
          <rPr>
            <sz val="9"/>
            <color indexed="81"/>
            <rFont val="Tahoma"/>
            <family val="2"/>
          </rPr>
          <t xml:space="preserve">1 dora
</t>
        </r>
      </text>
    </comment>
    <comment ref="AB41" authorId="0" shapeId="0" xr:uid="{3894CEF0-82A8-4E74-A2C3-8C044BE872FF}">
      <text>
        <r>
          <rPr>
            <sz val="9"/>
            <color indexed="81"/>
            <rFont val="Tahoma"/>
            <family val="2"/>
          </rPr>
          <t xml:space="preserve">1 marco
</t>
        </r>
      </text>
    </comment>
    <comment ref="C52" authorId="0" shapeId="0" xr:uid="{285F6B10-B88E-423F-B59F-E6AF3E2174E8}">
      <text>
        <r>
          <rPr>
            <sz val="9"/>
            <color indexed="81"/>
            <rFont val="Tahoma"/>
            <family val="2"/>
          </rPr>
          <t xml:space="preserve">1 vanessa se paro del lavacabezas y se fue 
1vanessa no paso trial pero si dual 
1 elsy no paso trial no quiso bio 
</t>
        </r>
      </text>
    </comment>
    <comment ref="D52" authorId="0" shapeId="0" xr:uid="{F74A2C5C-3F2B-4612-9DA2-F547E1FDC288}">
      <text>
        <r>
          <rPr>
            <sz val="9"/>
            <color indexed="81"/>
            <rFont val="Tahoma"/>
            <family val="2"/>
          </rPr>
          <t>1 pablo
desuento</t>
        </r>
      </text>
    </comment>
    <comment ref="E52" authorId="0" shapeId="0" xr:uid="{C6D4DDB3-49B4-4941-99DA-D2E5A82C275C}">
      <text>
        <r>
          <rPr>
            <sz val="9"/>
            <color indexed="81"/>
            <rFont val="Tahoma"/>
            <family val="2"/>
          </rPr>
          <t xml:space="preserve">1 andri
se le cotizo color con decoloracion en 350 y no quiso </t>
        </r>
      </text>
    </comment>
    <comment ref="H52" authorId="0" shapeId="0" xr:uid="{F5BD7E53-2B5A-417A-B9A4-245039D04D22}">
      <text>
        <r>
          <rPr>
            <sz val="9"/>
            <color indexed="81"/>
            <rFont val="Tahoma"/>
            <family val="2"/>
          </rPr>
          <t>1 pablo
descuento</t>
        </r>
      </text>
    </comment>
    <comment ref="J52" authorId="0" shapeId="0" xr:uid="{29648E59-E2C6-4779-9CAB-E85059182226}">
      <text>
        <r>
          <rPr>
            <b/>
            <sz val="9"/>
            <color indexed="81"/>
            <rFont val="Tahoma"/>
            <family val="2"/>
          </rPr>
          <t>1 vanessa se levanto del lavacabezas y se fue no quiso esperar mas, se quejo de la atencion</t>
        </r>
      </text>
    </comment>
    <comment ref="O52" authorId="0" shapeId="0" xr:uid="{840B6AB5-7BDD-415C-844D-50B351701756}">
      <text>
        <r>
          <rPr>
            <b/>
            <sz val="9"/>
            <color indexed="81"/>
            <rFont val="Tahoma"/>
            <family val="2"/>
          </rPr>
          <t>1 vanessa cliente desconfia por el olor a formol</t>
        </r>
      </text>
    </comment>
    <comment ref="Q52" authorId="0" shapeId="0" xr:uid="{63DC3E0E-A9DE-45C0-98E9-C4BDF03C16F1}">
      <text>
        <r>
          <rPr>
            <sz val="9"/>
            <color indexed="81"/>
            <rFont val="Tahoma"/>
            <family val="2"/>
          </rPr>
          <t xml:space="preserve">1 vanessa
</t>
        </r>
      </text>
    </comment>
    <comment ref="R52" authorId="0" shapeId="0" xr:uid="{04B3D93B-F875-48B0-A16E-E1E420ED7031}">
      <text>
        <r>
          <rPr>
            <sz val="9"/>
            <color indexed="81"/>
            <rFont val="Tahoma"/>
            <family val="2"/>
          </rPr>
          <t xml:space="preserve">1 pablo
</t>
        </r>
      </text>
    </comment>
    <comment ref="S52" authorId="0" shapeId="0" xr:uid="{80EE7501-D9E5-4DB3-8849-6E19445AAE13}">
      <text>
        <r>
          <rPr>
            <sz val="9"/>
            <color indexed="81"/>
            <rFont val="Tahoma"/>
            <family val="2"/>
          </rPr>
          <t xml:space="preserve">2 pablo una estaba era preocupada de que se le llevaran el carro la otra no se dejo explicar se paro y se fue 
</t>
        </r>
      </text>
    </comment>
    <comment ref="Y52" authorId="0" shapeId="0" xr:uid="{35FF3B3C-9A15-4DF4-B61D-A25BB67619BD}">
      <text>
        <r>
          <rPr>
            <b/>
            <sz val="9"/>
            <color indexed="81"/>
            <rFont val="Tahoma"/>
            <family val="2"/>
          </rPr>
          <t>Franco Arrascue:1 elsy</t>
        </r>
      </text>
    </comment>
    <comment ref="AB52" authorId="0" shapeId="0" xr:uid="{DDB412E0-5B15-4DE1-8804-280A41717314}">
      <text>
        <r>
          <rPr>
            <sz val="9"/>
            <color indexed="81"/>
            <rFont val="Tahoma"/>
            <family val="2"/>
          </rPr>
          <t xml:space="preserve">1 pablo
</t>
        </r>
      </text>
    </comment>
    <comment ref="AC52" authorId="0" shapeId="0" xr:uid="{1D003D55-88AC-4A83-B37D-79738098E3D7}">
      <text>
        <r>
          <rPr>
            <sz val="9"/>
            <color indexed="81"/>
            <rFont val="Tahoma"/>
            <family val="2"/>
          </rPr>
          <t xml:space="preserve">elsy
</t>
        </r>
      </text>
    </comment>
    <comment ref="AD52" authorId="0" shapeId="0" xr:uid="{B6B1CDA3-6923-4380-8A0B-F2FB063AB991}">
      <text>
        <r>
          <rPr>
            <sz val="9"/>
            <color indexed="81"/>
            <rFont val="Tahoma"/>
            <family val="2"/>
          </rPr>
          <t xml:space="preserve">1 elsy
</t>
        </r>
      </text>
    </comment>
    <comment ref="AA80" authorId="0" shapeId="0" xr:uid="{B4C259E8-4E78-44C7-B469-78946AEEB129}">
      <text>
        <r>
          <rPr>
            <sz val="9"/>
            <color indexed="81"/>
            <rFont val="Tahoma"/>
            <family val="2"/>
          </rPr>
          <t xml:space="preserve">sin luz en la zona 
</t>
        </r>
      </text>
    </comment>
    <comment ref="C92" authorId="0" shapeId="0" xr:uid="{37BEDD4A-E38B-44AE-BBCF-9D2BB05BA133}">
      <text>
        <r>
          <rPr>
            <sz val="9"/>
            <color indexed="81"/>
            <rFont val="Tahoma"/>
            <family val="2"/>
          </rPr>
          <t xml:space="preserve">1 de botox de obsequio
</t>
        </r>
      </text>
    </comment>
    <comment ref="D92" authorId="0" shapeId="0" xr:uid="{DFF0CEB4-FDFF-4965-895F-3DE0765C8BA2}">
      <text>
        <r>
          <rPr>
            <b/>
            <sz val="9"/>
            <color indexed="81"/>
            <rFont val="Tahoma"/>
            <family val="2"/>
          </rPr>
          <t>4 de botos de regalo</t>
        </r>
      </text>
    </comment>
    <comment ref="E92" authorId="0" shapeId="0" xr:uid="{F3A0C390-3591-43B4-88EE-DB4C5B1A2551}">
      <text>
        <r>
          <rPr>
            <sz val="9"/>
            <color indexed="81"/>
            <rFont val="Tahoma"/>
            <family val="2"/>
          </rPr>
          <t xml:space="preserve">2 botox de regalo
</t>
        </r>
      </text>
    </comment>
    <comment ref="G92" authorId="0" shapeId="0" xr:uid="{E908FC83-AE51-4E9A-BE18-0A316A8DA7EB}">
      <text>
        <r>
          <rPr>
            <sz val="9"/>
            <color indexed="81"/>
            <rFont val="Tahoma"/>
            <family val="2"/>
          </rPr>
          <t xml:space="preserve">1 botox de regalo
</t>
        </r>
      </text>
    </comment>
    <comment ref="J92" authorId="0" shapeId="0" xr:uid="{9AA9024F-E679-4310-B564-3BFF235E0237}">
      <text>
        <r>
          <rPr>
            <sz val="9"/>
            <color indexed="81"/>
            <rFont val="Tahoma"/>
            <family val="2"/>
          </rPr>
          <t xml:space="preserve">1 botos de regalo
</t>
        </r>
      </text>
    </comment>
    <comment ref="L92" authorId="0" shapeId="0" xr:uid="{CC4ACD4F-B4CD-45DC-87A5-F8F1032B65B5}">
      <text>
        <r>
          <rPr>
            <sz val="9"/>
            <color indexed="81"/>
            <rFont val="Tahoma"/>
            <family val="2"/>
          </rPr>
          <t xml:space="preserve">2 botox de regalo
</t>
        </r>
      </text>
    </comment>
    <comment ref="M92" authorId="0" shapeId="0" xr:uid="{179B7F91-67A4-4144-9C4F-08C1C2FF5B9C}">
      <text>
        <r>
          <rPr>
            <b/>
            <sz val="9"/>
            <color indexed="81"/>
            <rFont val="Tahoma"/>
            <family val="2"/>
          </rPr>
          <t>1 botox de regalo: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2" authorId="0" shapeId="0" xr:uid="{CE099F02-E33E-4D18-8EFB-7D7B339A3C10}">
      <text>
        <r>
          <rPr>
            <sz val="9"/>
            <color indexed="81"/>
            <rFont val="Tahoma"/>
            <family val="2"/>
          </rPr>
          <t xml:space="preserve">2 botox de obsequio 
</t>
        </r>
      </text>
    </comment>
    <comment ref="Q92" authorId="0" shapeId="0" xr:uid="{8B628D42-A38A-4EE7-A505-A8636625B8CD}">
      <text>
        <r>
          <rPr>
            <b/>
            <sz val="9"/>
            <color indexed="81"/>
            <rFont val="Tahoma"/>
            <family val="2"/>
          </rPr>
          <t xml:space="preserve">Franco Arrascue:1 botox de obsequio </t>
        </r>
      </text>
    </comment>
    <comment ref="R92" authorId="0" shapeId="0" xr:uid="{A340ADA8-32C8-457B-A9FE-4E1E2DE5CD1A}">
      <text>
        <r>
          <rPr>
            <sz val="9"/>
            <color indexed="81"/>
            <rFont val="Tahoma"/>
            <family val="2"/>
          </rPr>
          <t xml:space="preserve">3 botox de regalo
</t>
        </r>
      </text>
    </comment>
    <comment ref="S92" authorId="0" shapeId="0" xr:uid="{B5820609-68D6-4D34-8EC2-291DA1581154}">
      <text>
        <r>
          <rPr>
            <sz val="9"/>
            <color indexed="81"/>
            <rFont val="Tahoma"/>
            <family val="2"/>
          </rPr>
          <t xml:space="preserve">2 botox de obsequio
</t>
        </r>
      </text>
    </comment>
    <comment ref="T92" authorId="0" shapeId="0" xr:uid="{C7B993D7-1D5B-406A-B895-C7C957A54B18}">
      <text>
        <r>
          <rPr>
            <sz val="9"/>
            <color indexed="81"/>
            <rFont val="Tahoma"/>
            <family val="2"/>
          </rPr>
          <t xml:space="preserve">4 botox de obsequio
</t>
        </r>
      </text>
    </comment>
    <comment ref="U92" authorId="0" shapeId="0" xr:uid="{7EB52A57-33E7-475A-A1FA-4BC339A95457}">
      <text>
        <r>
          <rPr>
            <sz val="9"/>
            <color indexed="81"/>
            <rFont val="Tahoma"/>
            <family val="2"/>
          </rPr>
          <t xml:space="preserve">2 botox de obsequio
</t>
        </r>
      </text>
    </comment>
    <comment ref="X92" authorId="0" shapeId="0" xr:uid="{84E92A1F-BA9C-4C6A-A093-5FD581E38A40}">
      <text>
        <r>
          <rPr>
            <sz val="9"/>
            <color indexed="81"/>
            <rFont val="Tahoma"/>
            <family val="2"/>
          </rPr>
          <t xml:space="preserve">5 botox de obsequio 
</t>
        </r>
      </text>
    </comment>
    <comment ref="Y92" authorId="0" shapeId="0" xr:uid="{95518C8C-90E8-4D74-98BC-3249D4DF6040}">
      <text>
        <r>
          <rPr>
            <b/>
            <sz val="9"/>
            <color indexed="81"/>
            <rFont val="Tahoma"/>
            <family val="2"/>
          </rPr>
          <t>6 BOTOX DE OBSEQUIO</t>
        </r>
      </text>
    </comment>
    <comment ref="Z92" authorId="0" shapeId="0" xr:uid="{59D64368-40A3-4BDB-BFB1-FF3F945F9355}">
      <text>
        <r>
          <rPr>
            <sz val="9"/>
            <color indexed="81"/>
            <rFont val="Tahoma"/>
            <family val="2"/>
          </rPr>
          <t>3 BOTOX DE OBSEQUIO</t>
        </r>
      </text>
    </comment>
    <comment ref="AA92" authorId="0" shapeId="0" xr:uid="{DF65AD09-C575-4F37-81BF-962675D6E031}">
      <text>
        <r>
          <rPr>
            <sz val="9"/>
            <color indexed="81"/>
            <rFont val="Tahoma"/>
            <family val="2"/>
          </rPr>
          <t xml:space="preserve">7 BOTOX DE OBSEQUIO
</t>
        </r>
      </text>
    </comment>
    <comment ref="AB92" authorId="0" shapeId="0" xr:uid="{845E022E-4ED8-4154-ACBE-A4DDFCB0096A}">
      <text>
        <r>
          <rPr>
            <sz val="9"/>
            <color indexed="81"/>
            <rFont val="Tahoma"/>
            <family val="2"/>
          </rPr>
          <t xml:space="preserve">5 BOTOX DE OBSEQUIO
</t>
        </r>
      </text>
    </comment>
    <comment ref="AE92" authorId="0" shapeId="0" xr:uid="{F3143C25-0D91-4AFD-8D47-9A1EA3473C75}">
      <text>
        <r>
          <rPr>
            <sz val="9"/>
            <color indexed="81"/>
            <rFont val="Tahoma"/>
            <family val="2"/>
          </rPr>
          <t xml:space="preserve">1 BOTOX DE OBSEQUIO
</t>
        </r>
      </text>
    </comment>
    <comment ref="AF92" authorId="0" shapeId="0" xr:uid="{497C2AAA-F3D3-4118-A0BC-83BD5809B890}">
      <text>
        <r>
          <rPr>
            <sz val="9"/>
            <color indexed="81"/>
            <rFont val="Tahoma"/>
            <family val="2"/>
          </rPr>
          <t xml:space="preserve">2 BOTOX DE OBSEQUIO 
</t>
        </r>
      </text>
    </comment>
    <comment ref="C103" authorId="0" shapeId="0" xr:uid="{0C61E122-21B4-49CE-A744-A89EA16C8058}">
      <text>
        <r>
          <rPr>
            <sz val="9"/>
            <color indexed="81"/>
            <rFont val="Tahoma"/>
            <family val="2"/>
          </rPr>
          <t xml:space="preserve">2 BOTOX DE OBSEQUIO 
</t>
        </r>
      </text>
    </comment>
    <comment ref="D103" authorId="0" shapeId="0" xr:uid="{993A2A1C-A2BF-45B4-AF33-EE44EA323695}">
      <text>
        <r>
          <rPr>
            <sz val="9"/>
            <color indexed="81"/>
            <rFont val="Tahoma"/>
            <family val="2"/>
          </rPr>
          <t xml:space="preserve">6 BOTOX DE OBSEQUIO 
</t>
        </r>
      </text>
    </comment>
    <comment ref="E103" authorId="0" shapeId="0" xr:uid="{F217F047-2A0F-42AE-BDAC-447D2F584B1F}">
      <text>
        <r>
          <rPr>
            <sz val="9"/>
            <color indexed="81"/>
            <rFont val="Tahoma"/>
            <family val="2"/>
          </rPr>
          <t>3
 BOTOX DE OBSEQUIO</t>
        </r>
      </text>
    </comment>
    <comment ref="G103" authorId="0" shapeId="0" xr:uid="{90C25719-F8B1-4FA8-8F55-243B8EA5E96E}">
      <text>
        <r>
          <rPr>
            <sz val="9"/>
            <color indexed="81"/>
            <rFont val="Tahoma"/>
            <family val="2"/>
          </rPr>
          <t xml:space="preserve">4 BOTOX DE OBSEQUIO 
</t>
        </r>
      </text>
    </comment>
    <comment ref="K103" authorId="0" shapeId="0" xr:uid="{4CFE4F2B-36DC-4CFB-A7AC-228010416E43}">
      <text>
        <r>
          <rPr>
            <sz val="9"/>
            <color indexed="81"/>
            <rFont val="Tahoma"/>
            <family val="2"/>
          </rPr>
          <t xml:space="preserve">1 BOTOX DE OBSEQUIO
</t>
        </r>
      </text>
    </comment>
    <comment ref="M103" authorId="0" shapeId="0" xr:uid="{7C743BE5-4C9C-4DF2-BF56-6D8A00F2608B}">
      <text>
        <r>
          <rPr>
            <b/>
            <sz val="9"/>
            <color indexed="81"/>
            <rFont val="Tahoma"/>
            <family val="2"/>
          </rPr>
          <t xml:space="preserve">2 BOTOX DE OBSEQUIO </t>
        </r>
      </text>
    </comment>
    <comment ref="N103" authorId="0" shapeId="0" xr:uid="{B223685E-0CF7-447A-A917-05F9F1EDE748}">
      <text>
        <r>
          <rPr>
            <sz val="9"/>
            <color indexed="81"/>
            <rFont val="Tahoma"/>
            <family val="2"/>
          </rPr>
          <t xml:space="preserve">3 BETOX DE OBSEQUIO
</t>
        </r>
      </text>
    </comment>
    <comment ref="O103" authorId="0" shapeId="0" xr:uid="{B425AB0C-3B8F-4871-BE16-21F789D44B2E}">
      <text>
        <r>
          <rPr>
            <sz val="9"/>
            <color indexed="81"/>
            <rFont val="Tahoma"/>
            <family val="2"/>
          </rPr>
          <t xml:space="preserve">1 BOTOX DE OBSEQUIO
</t>
        </r>
      </text>
    </comment>
    <comment ref="Q103" authorId="0" shapeId="0" xr:uid="{9E822E78-C093-45D3-A514-D7B0FC5188C1}">
      <text>
        <r>
          <rPr>
            <sz val="9"/>
            <color indexed="81"/>
            <rFont val="Tahoma"/>
            <family val="2"/>
          </rPr>
          <t xml:space="preserve">6 BOTOX DE OBS
</t>
        </r>
      </text>
    </comment>
    <comment ref="R103" authorId="0" shapeId="0" xr:uid="{CFCA3BAD-2997-48C2-B00B-1C15C3E4D10B}">
      <text>
        <r>
          <rPr>
            <sz val="9"/>
            <color indexed="81"/>
            <rFont val="Tahoma"/>
            <family val="2"/>
          </rPr>
          <t>10 BOTOX DE OBS</t>
        </r>
      </text>
    </comment>
    <comment ref="S103" authorId="0" shapeId="0" xr:uid="{DA41BBD1-4D22-4DAB-AB91-A9899C104BC3}">
      <text>
        <r>
          <rPr>
            <sz val="9"/>
            <color indexed="81"/>
            <rFont val="Tahoma"/>
            <family val="2"/>
          </rPr>
          <t xml:space="preserve">5 BOTOX DE OBS
</t>
        </r>
      </text>
    </comment>
    <comment ref="T103" authorId="0" shapeId="0" xr:uid="{2BACDA8D-1DB5-4A1D-82EC-5E800BAE61E6}">
      <text>
        <r>
          <rPr>
            <sz val="9"/>
            <color indexed="81"/>
            <rFont val="Tahoma"/>
            <family val="2"/>
          </rPr>
          <t>7 BOTOX DE OBS</t>
        </r>
      </text>
    </comment>
    <comment ref="U103" authorId="0" shapeId="0" xr:uid="{AB5B96A1-205B-4C7A-8AED-05F95DC14B7F}">
      <text>
        <r>
          <rPr>
            <sz val="9"/>
            <color indexed="81"/>
            <rFont val="Tahoma"/>
            <family val="2"/>
          </rPr>
          <t xml:space="preserve">4 BOTOX DE OBS
</t>
        </r>
      </text>
    </comment>
    <comment ref="V103" authorId="0" shapeId="0" xr:uid="{299A4941-AE84-4F93-8C06-A68202F717C0}">
      <text>
        <r>
          <rPr>
            <sz val="9"/>
            <color indexed="81"/>
            <rFont val="Tahoma"/>
            <family val="2"/>
          </rPr>
          <t xml:space="preserve">1 BOTOX DE OBS
</t>
        </r>
      </text>
    </comment>
    <comment ref="X103" authorId="0" shapeId="0" xr:uid="{E4B6F76C-07CC-4DC5-8ED5-7FFF5DCA2B00}">
      <text>
        <r>
          <rPr>
            <sz val="9"/>
            <color indexed="81"/>
            <rFont val="Tahoma"/>
            <family val="2"/>
          </rPr>
          <t xml:space="preserve">4 BOTOX DE OBS
</t>
        </r>
      </text>
    </comment>
    <comment ref="Y103" authorId="0" shapeId="0" xr:uid="{A4900702-3A75-4206-8B54-1D0360AEACC2}">
      <text>
        <r>
          <rPr>
            <sz val="9"/>
            <color indexed="81"/>
            <rFont val="Tahoma"/>
            <family val="2"/>
          </rPr>
          <t xml:space="preserve">6 BOTOX DE OBSEQUIO
</t>
        </r>
      </text>
    </comment>
    <comment ref="Z103" authorId="0" shapeId="0" xr:uid="{2A82C78A-3D84-4BF5-87DC-2C1144B19F2A}">
      <text>
        <r>
          <rPr>
            <sz val="9"/>
            <color indexed="81"/>
            <rFont val="Tahoma"/>
            <family val="2"/>
          </rPr>
          <t xml:space="preserve">3 BOTOX DE OBSEQUIO
</t>
        </r>
      </text>
    </comment>
    <comment ref="AA103" authorId="0" shapeId="0" xr:uid="{D6C0DCFA-B8AA-494B-9A14-366F5B6C4130}">
      <text>
        <r>
          <rPr>
            <sz val="9"/>
            <color indexed="81"/>
            <rFont val="Tahoma"/>
            <family val="2"/>
          </rPr>
          <t xml:space="preserve">8 BOTOX DE OBS
</t>
        </r>
      </text>
    </comment>
    <comment ref="AB103" authorId="0" shapeId="0" xr:uid="{84638A03-30C4-4D07-BE74-5AAF99B3C5EB}">
      <text>
        <r>
          <rPr>
            <sz val="9"/>
            <color indexed="81"/>
            <rFont val="Tahoma"/>
            <family val="2"/>
          </rPr>
          <t>11 BOTOX DE OBSEQUIO</t>
        </r>
      </text>
    </comment>
    <comment ref="AE103" authorId="0" shapeId="0" xr:uid="{505B4F1D-4C6D-4ACE-B497-A3E186174D7A}">
      <text>
        <r>
          <rPr>
            <sz val="9"/>
            <color indexed="81"/>
            <rFont val="Tahoma"/>
            <family val="2"/>
          </rPr>
          <t xml:space="preserve">4 BOTOX DE OBS
</t>
        </r>
      </text>
    </comment>
    <comment ref="AF103" authorId="0" shapeId="0" xr:uid="{70ECA1B0-3554-46B1-988B-EC461C45CA4F}">
      <text>
        <r>
          <rPr>
            <sz val="9"/>
            <color indexed="81"/>
            <rFont val="Tahoma"/>
            <family val="2"/>
          </rPr>
          <t xml:space="preserve">4 BOTOX DE OBSEQUIO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C8" authorId="0" shapeId="0" xr:uid="{145B7B6B-3FB4-4982-9D89-7424FD66E36E}">
      <text>
        <r>
          <rPr>
            <sz val="9"/>
            <color indexed="81"/>
            <rFont val="Tahoma"/>
            <family val="2"/>
          </rPr>
          <t xml:space="preserve">LUZ
</t>
        </r>
      </text>
    </comment>
    <comment ref="D8" authorId="0" shapeId="0" xr:uid="{B548C71D-D008-43A7-BE9A-FB7C2A82AF2F}">
      <text>
        <r>
          <rPr>
            <sz val="9"/>
            <color indexed="81"/>
            <rFont val="Tahoma"/>
            <family val="2"/>
          </rPr>
          <t xml:space="preserve">1 LUZ
</t>
        </r>
      </text>
    </comment>
    <comment ref="E8" authorId="0" shapeId="0" xr:uid="{1B7E4ACF-1F7A-4F92-A4C6-2D1511FE8D1B}">
      <text>
        <r>
          <rPr>
            <sz val="9"/>
            <color indexed="81"/>
            <rFont val="Tahoma"/>
            <family val="2"/>
          </rPr>
          <t xml:space="preserve">1 AMY
</t>
        </r>
      </text>
    </comment>
    <comment ref="H8" authorId="0" shapeId="0" xr:uid="{5172978D-91A0-4CE4-97D9-AE26DFD04646}">
      <text>
        <r>
          <rPr>
            <sz val="9"/>
            <color indexed="81"/>
            <rFont val="Tahoma"/>
            <charset val="1"/>
          </rPr>
          <t xml:space="preserve">LUZ
</t>
        </r>
      </text>
    </comment>
    <comment ref="L8" authorId="0" shapeId="0" xr:uid="{2E09ABBF-3C4E-451F-9564-2797795E7821}">
      <text>
        <r>
          <rPr>
            <sz val="9"/>
            <color indexed="81"/>
            <rFont val="Tahoma"/>
            <charset val="1"/>
          </rPr>
          <t xml:space="preserve">1 eduar
</t>
        </r>
      </text>
    </comment>
    <comment ref="N8" authorId="0" shapeId="0" xr:uid="{B13DA567-A983-4CF8-8C4B-264C11BD4EC5}">
      <text>
        <r>
          <rPr>
            <b/>
            <sz val="9"/>
            <color indexed="81"/>
            <rFont val="Tahoma"/>
            <charset val="1"/>
          </rPr>
          <t xml:space="preserve">rosana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8" authorId="0" shapeId="0" xr:uid="{AEDC151E-9BAF-43FF-B9AE-2A09D9AF7F90}">
      <text>
        <r>
          <rPr>
            <b/>
            <sz val="9"/>
            <color indexed="81"/>
            <rFont val="Tahoma"/>
            <charset val="1"/>
          </rPr>
          <t>AMY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8" authorId="0" shapeId="0" xr:uid="{618C0447-B8F1-4CD2-BBF5-6984CBDD58D3}">
      <text>
        <r>
          <rPr>
            <b/>
            <sz val="9"/>
            <color indexed="81"/>
            <rFont val="Tahoma"/>
            <charset val="1"/>
          </rPr>
          <t>2 PALACIOS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8" authorId="0" shapeId="0" xr:uid="{04D56155-8C19-4930-8BA1-2D352A3EE5A7}">
      <text>
        <r>
          <rPr>
            <sz val="9"/>
            <color indexed="81"/>
            <rFont val="Tahoma"/>
            <charset val="1"/>
          </rPr>
          <t xml:space="preserve">1 MICHEL 
1 PALACIOS 
</t>
        </r>
      </text>
    </comment>
    <comment ref="S8" authorId="0" shapeId="0" xr:uid="{D3D8034F-B999-43D8-BE8E-82455754815C}">
      <text>
        <r>
          <rPr>
            <b/>
            <sz val="9"/>
            <color indexed="81"/>
            <rFont val="Tahoma"/>
            <charset val="1"/>
          </rPr>
          <t xml:space="preserve">SIN ESTILISTA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8" authorId="0" shapeId="0" xr:uid="{BF9EA566-1733-4C0D-90C6-4CC031F7609E}">
      <text>
        <r>
          <rPr>
            <sz val="9"/>
            <color indexed="81"/>
            <rFont val="Tahoma"/>
            <charset val="1"/>
          </rPr>
          <t>sin estilista</t>
        </r>
      </text>
    </comment>
    <comment ref="Y8" authorId="0" shapeId="0" xr:uid="{86C97CCF-0EBA-41E3-86E2-DC9D14220788}">
      <text>
        <r>
          <rPr>
            <b/>
            <sz val="9"/>
            <color indexed="81"/>
            <rFont val="Tahoma"/>
            <charset val="1"/>
          </rPr>
          <t xml:space="preserve">s/e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8" authorId="0" shapeId="0" xr:uid="{8646D5F7-181E-4017-980D-87B2DFAB6D43}">
      <text>
        <r>
          <rPr>
            <sz val="9"/>
            <color indexed="81"/>
            <rFont val="Tahoma"/>
            <charset val="1"/>
          </rPr>
          <t xml:space="preserve">catherine 
</t>
        </r>
      </text>
    </comment>
    <comment ref="B19" authorId="0" shapeId="0" xr:uid="{C102D07E-363B-484C-9344-5A9526D0C996}">
      <text>
        <r>
          <rPr>
            <sz val="9"/>
            <color indexed="81"/>
            <rFont val="Tahoma"/>
            <family val="2"/>
          </rPr>
          <t xml:space="preserve">1 OSMERY
</t>
        </r>
      </text>
    </comment>
    <comment ref="E19" authorId="0" shapeId="0" xr:uid="{64BF1546-B0C4-4755-9080-FFA018A0ECEE}">
      <text>
        <r>
          <rPr>
            <sz val="9"/>
            <color indexed="81"/>
            <rFont val="Tahoma"/>
            <family val="2"/>
          </rPr>
          <t xml:space="preserve">1 KARINA 
1 JOSELYN
</t>
        </r>
      </text>
    </comment>
    <comment ref="O19" authorId="0" shapeId="0" xr:uid="{12E9DFB9-4A5D-4318-9155-3CBEA7DA1CB8}">
      <text>
        <r>
          <rPr>
            <sz val="9"/>
            <color indexed="81"/>
            <rFont val="Tahoma"/>
            <charset val="1"/>
          </rPr>
          <t xml:space="preserve">1 osmery
</t>
        </r>
      </text>
    </comment>
    <comment ref="P19" authorId="0" shapeId="0" xr:uid="{C8A5D4B8-03FD-4B95-AC71-9EEA184E2652}">
      <text>
        <r>
          <rPr>
            <sz val="9"/>
            <color indexed="81"/>
            <rFont val="Tahoma"/>
            <charset val="1"/>
          </rPr>
          <t xml:space="preserve">1 ONEIDA
</t>
        </r>
      </text>
    </comment>
    <comment ref="S19" authorId="0" shapeId="0" xr:uid="{B00D29DA-52DF-4140-87C0-F790D10F7DBF}">
      <text>
        <r>
          <rPr>
            <sz val="9"/>
            <color indexed="81"/>
            <rFont val="Tahoma"/>
            <charset val="1"/>
          </rPr>
          <t xml:space="preserve">1 JAZMIN
</t>
        </r>
      </text>
    </comment>
    <comment ref="T19" authorId="0" shapeId="0" xr:uid="{3E019D9F-4940-42F0-82AE-8AE5466B2977}">
      <text>
        <r>
          <rPr>
            <sz val="9"/>
            <color indexed="81"/>
            <rFont val="Tahoma"/>
            <charset val="1"/>
          </rPr>
          <t xml:space="preserve">1 ALBERLYS
</t>
        </r>
      </text>
    </comment>
    <comment ref="V19" authorId="0" shapeId="0" xr:uid="{14A383BB-D8D5-422D-B384-7EBF9D9C11BE}">
      <text>
        <r>
          <rPr>
            <b/>
            <sz val="9"/>
            <color indexed="81"/>
            <rFont val="Tahoma"/>
            <charset val="1"/>
          </rPr>
          <t>karina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W19" authorId="0" shapeId="0" xr:uid="{ED3848AE-BE0D-45B4-96A6-3B6F9C9C7D91}">
      <text>
        <r>
          <rPr>
            <sz val="9"/>
            <color indexed="81"/>
            <rFont val="Tahoma"/>
            <charset val="1"/>
          </rPr>
          <t xml:space="preserve">1 sofia 
</t>
        </r>
      </text>
    </comment>
    <comment ref="Z19" authorId="0" shapeId="0" xr:uid="{A245ED91-BF32-4440-95A7-3B2F0CCAF98D}">
      <text>
        <r>
          <rPr>
            <sz val="9"/>
            <color indexed="81"/>
            <rFont val="Tahoma"/>
            <charset val="1"/>
          </rPr>
          <t xml:space="preserve">erika
</t>
        </r>
      </text>
    </comment>
    <comment ref="AC19" authorId="0" shapeId="0" xr:uid="{7BC84009-8F5B-40B8-9F87-83C00577C8D4}">
      <text>
        <r>
          <rPr>
            <b/>
            <sz val="9"/>
            <color indexed="81"/>
            <rFont val="Tahoma"/>
            <charset val="1"/>
          </rPr>
          <t>osmery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E19" authorId="0" shapeId="0" xr:uid="{D71D9BBE-6FCA-4B85-9B65-357B5E66B339}">
      <text>
        <r>
          <rPr>
            <sz val="9"/>
            <color indexed="81"/>
            <rFont val="Tahoma"/>
          </rPr>
          <t xml:space="preserve">flor
</t>
        </r>
      </text>
    </comment>
    <comment ref="C30" authorId="0" shapeId="0" xr:uid="{798225E0-AA38-4ACA-9325-5E9B8C313A69}">
      <text>
        <r>
          <rPr>
            <b/>
            <sz val="9"/>
            <color indexed="81"/>
            <rFont val="Tahoma"/>
            <family val="2"/>
          </rPr>
          <t>1 ERIKA: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0" authorId="0" shapeId="0" xr:uid="{970A048D-00B2-4C15-A548-5F85FCB6E81D}">
      <text>
        <r>
          <rPr>
            <sz val="9"/>
            <color indexed="81"/>
            <rFont val="Tahoma"/>
            <family val="2"/>
          </rPr>
          <t xml:space="preserve">1 XAVIER 
</t>
        </r>
      </text>
    </comment>
    <comment ref="L30" authorId="0" shapeId="0" xr:uid="{7781069A-96FD-413A-B151-F53FA1337A49}">
      <text>
        <r>
          <rPr>
            <b/>
            <sz val="9"/>
            <color indexed="81"/>
            <rFont val="Tahoma"/>
            <charset val="1"/>
          </rPr>
          <t>selene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30" authorId="0" shapeId="0" xr:uid="{3DAFB690-F4AC-4BC2-8BE9-23C386FA9970}">
      <text>
        <r>
          <rPr>
            <b/>
            <sz val="9"/>
            <color indexed="81"/>
            <rFont val="Tahoma"/>
            <charset val="1"/>
          </rPr>
          <t xml:space="preserve">1 SARAY
1 CARLOS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30" authorId="0" shapeId="0" xr:uid="{9E15CD8E-C19B-45C1-92C6-89CD29BF7296}">
      <text>
        <r>
          <rPr>
            <b/>
            <sz val="9"/>
            <color indexed="81"/>
            <rFont val="Tahoma"/>
            <charset val="1"/>
          </rPr>
          <t xml:space="preserve">1 XAVIER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30" authorId="0" shapeId="0" xr:uid="{D74B4BA1-4F9D-48EC-B149-D7D6AE1E3A43}">
      <text>
        <r>
          <rPr>
            <sz val="9"/>
            <color indexed="81"/>
            <rFont val="Tahoma"/>
            <charset val="1"/>
          </rPr>
          <t xml:space="preserve">SARAY
</t>
        </r>
      </text>
    </comment>
    <comment ref="V30" authorId="0" shapeId="0" xr:uid="{9D23EDC5-2033-45FB-B1AE-3457A6F5C3BD}">
      <text>
        <r>
          <rPr>
            <b/>
            <sz val="9"/>
            <color indexed="81"/>
            <rFont val="Tahoma"/>
            <charset val="1"/>
          </rPr>
          <t>1 saray
1 ccelene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41" authorId="0" shapeId="0" xr:uid="{D3F44FD3-393F-4D58-9B73-B1E8C6EAC6CA}">
      <text>
        <r>
          <rPr>
            <sz val="9"/>
            <color indexed="81"/>
            <rFont val="Tahoma"/>
            <family val="2"/>
          </rPr>
          <t xml:space="preserve">2 MARCO
</t>
        </r>
      </text>
    </comment>
    <comment ref="C41" authorId="0" shapeId="0" xr:uid="{1053053B-50E6-48C9-B2D8-93C68F2E8F3A}">
      <text>
        <r>
          <rPr>
            <sz val="9"/>
            <color indexed="81"/>
            <rFont val="Tahoma"/>
            <family val="2"/>
          </rPr>
          <t xml:space="preserve">1 ROSANGELA 
</t>
        </r>
      </text>
    </comment>
    <comment ref="S41" authorId="0" shapeId="0" xr:uid="{F5687BEB-B29F-4C1C-9169-1B9456F5B08B}">
      <text>
        <r>
          <rPr>
            <sz val="9"/>
            <color indexed="81"/>
            <rFont val="Tahoma"/>
            <charset val="1"/>
          </rPr>
          <t xml:space="preserve">1 celeste 
</t>
        </r>
      </text>
    </comment>
    <comment ref="Z41" authorId="0" shapeId="0" xr:uid="{C4B4C196-0478-44CE-845E-3D9D9313AEB3}">
      <text>
        <r>
          <rPr>
            <sz val="9"/>
            <color indexed="81"/>
            <rFont val="Tahoma"/>
            <charset val="1"/>
          </rPr>
          <t xml:space="preserve">ana
</t>
        </r>
      </text>
    </comment>
    <comment ref="B52" authorId="0" shapeId="0" xr:uid="{FDCC9369-7A84-4465-9A37-E94F1FBB80A6}">
      <text>
        <r>
          <rPr>
            <sz val="9"/>
            <color indexed="81"/>
            <rFont val="Tahoma"/>
            <family val="2"/>
          </rPr>
          <t xml:space="preserve">1 ANDRI
</t>
        </r>
      </text>
    </comment>
    <comment ref="C52" authorId="0" shapeId="0" xr:uid="{0BE31CE6-BE11-4051-ABE5-0ACD418D8550}">
      <text>
        <r>
          <rPr>
            <sz val="9"/>
            <color indexed="81"/>
            <rFont val="Tahoma"/>
            <family val="2"/>
          </rPr>
          <t xml:space="preserve">1 PABLO
</t>
        </r>
      </text>
    </comment>
    <comment ref="E52" authorId="0" shapeId="0" xr:uid="{24C7609A-0512-4697-AD93-A3B4CA074CA3}">
      <text>
        <r>
          <rPr>
            <sz val="9"/>
            <color indexed="81"/>
            <rFont val="Tahoma"/>
            <family val="2"/>
          </rPr>
          <t xml:space="preserve">andri
</t>
        </r>
      </text>
    </comment>
    <comment ref="I52" authorId="0" shapeId="0" xr:uid="{631DC082-5B44-42D5-9310-6012DE4CDC66}">
      <text>
        <r>
          <rPr>
            <b/>
            <sz val="9"/>
            <color indexed="81"/>
            <rFont val="Tahoma"/>
            <family val="2"/>
          </rPr>
          <t>1 ANDRI</t>
        </r>
      </text>
    </comment>
    <comment ref="K52" authorId="0" shapeId="0" xr:uid="{FF173C5F-AE58-4D14-A81B-25E4DB923A30}">
      <text>
        <r>
          <rPr>
            <sz val="9"/>
            <color indexed="81"/>
            <rFont val="Tahoma"/>
            <charset val="1"/>
          </rPr>
          <t xml:space="preserve">1 livia
</t>
        </r>
      </text>
    </comment>
    <comment ref="L52" authorId="0" shapeId="0" xr:uid="{61980A02-A7A8-4E49-B29A-1A183CB1599B}">
      <text>
        <r>
          <rPr>
            <b/>
            <sz val="9"/>
            <color indexed="81"/>
            <rFont val="Tahoma"/>
            <charset val="1"/>
          </rPr>
          <t>1 andri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52" authorId="0" shapeId="0" xr:uid="{C9E02FD3-F729-456D-AA38-B6D8F5B37B77}">
      <text>
        <r>
          <rPr>
            <b/>
            <sz val="9"/>
            <color indexed="81"/>
            <rFont val="Tahoma"/>
            <charset val="1"/>
          </rPr>
          <t>1 PABLO</t>
        </r>
      </text>
    </comment>
    <comment ref="P52" authorId="0" shapeId="0" xr:uid="{1BA42791-D666-4A74-BC91-AF23A59C0283}">
      <text>
        <r>
          <rPr>
            <b/>
            <sz val="9"/>
            <color indexed="81"/>
            <rFont val="Tahoma"/>
            <charset val="1"/>
          </rPr>
          <t>2 ANDRI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52" authorId="0" shapeId="0" xr:uid="{94231F2F-AC94-4BF9-ACE6-7417689DA67B}">
      <text>
        <r>
          <rPr>
            <b/>
            <sz val="9"/>
            <color indexed="81"/>
            <rFont val="Tahoma"/>
            <charset val="1"/>
          </rPr>
          <t>PABLO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52" authorId="0" shapeId="0" xr:uid="{5A7D1417-CB19-419A-8941-071621BC7A15}">
      <text>
        <r>
          <rPr>
            <b/>
            <sz val="9"/>
            <color indexed="81"/>
            <rFont val="Tahoma"/>
            <charset val="1"/>
          </rPr>
          <t>1 VANESA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52" authorId="0" shapeId="0" xr:uid="{B446A62C-07CF-463A-BC8D-3B0EA0F54FFF}">
      <text>
        <r>
          <rPr>
            <sz val="9"/>
            <color indexed="81"/>
            <rFont val="Tahoma"/>
            <charset val="1"/>
          </rPr>
          <t xml:space="preserve">VANESA
</t>
        </r>
      </text>
    </comment>
    <comment ref="U52" authorId="0" shapeId="0" xr:uid="{0F1C0A16-64F5-4D01-ADBE-CA6A10EA0161}">
      <text>
        <r>
          <rPr>
            <b/>
            <sz val="9"/>
            <color indexed="81"/>
            <rFont val="Tahoma"/>
            <charset val="1"/>
          </rPr>
          <t>vanessa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52" authorId="0" shapeId="0" xr:uid="{FDDB9D54-B887-424F-A425-F7A4CB2FADCD}">
      <text>
        <r>
          <rPr>
            <sz val="9"/>
            <color indexed="81"/>
            <rFont val="Tahoma"/>
            <charset val="1"/>
          </rPr>
          <t xml:space="preserve">pablo
</t>
        </r>
      </text>
    </comment>
    <comment ref="AC52" authorId="0" shapeId="0" xr:uid="{55CEB4C0-4DAB-4695-9269-88750201D3D8}">
      <text>
        <r>
          <rPr>
            <sz val="9"/>
            <color indexed="81"/>
            <rFont val="Tahoma"/>
            <charset val="1"/>
          </rPr>
          <t xml:space="preserve">pablo
</t>
        </r>
      </text>
    </comment>
    <comment ref="P59" authorId="0" shapeId="0" xr:uid="{EB0AFF5C-C80E-449F-B2AF-7F42F6388573}">
      <text>
        <r>
          <rPr>
            <b/>
            <sz val="9"/>
            <color indexed="81"/>
            <rFont val="Tahoma"/>
            <charset val="1"/>
          </rPr>
          <t>5 botox de obsequio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U59" authorId="0" shapeId="0" xr:uid="{32C5F956-F13F-4835-8C52-586A11226B70}">
      <text>
        <r>
          <rPr>
            <b/>
            <sz val="9"/>
            <color indexed="81"/>
            <rFont val="Tahoma"/>
            <charset val="1"/>
          </rPr>
          <t>1 botox de obs</t>
        </r>
      </text>
    </comment>
    <comment ref="W59" authorId="0" shapeId="0" xr:uid="{3B372066-72A7-4935-B861-07B5922214E3}">
      <text>
        <r>
          <rPr>
            <b/>
            <sz val="9"/>
            <color indexed="81"/>
            <rFont val="Tahoma"/>
            <charset val="1"/>
          </rPr>
          <t>1 botox de obsequio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59" authorId="0" shapeId="0" xr:uid="{812B2711-4762-4334-87AB-830787D33B48}">
      <text>
        <r>
          <rPr>
            <b/>
            <sz val="9"/>
            <color indexed="81"/>
            <rFont val="Tahoma"/>
            <charset val="1"/>
          </rPr>
          <t>3 botox de onsequio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59" authorId="0" shapeId="0" xr:uid="{2A9BBBAB-2066-40F6-A57A-1DAB0692133D}">
      <text>
        <r>
          <rPr>
            <b/>
            <sz val="9"/>
            <color indexed="81"/>
            <rFont val="Tahoma"/>
            <charset val="1"/>
          </rPr>
          <t>8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59" authorId="0" shapeId="0" xr:uid="{8E0EC3EC-8A70-48E8-86FF-52B7E76D79CE}">
      <text>
        <r>
          <rPr>
            <b/>
            <sz val="9"/>
            <color indexed="81"/>
            <rFont val="Tahoma"/>
            <charset val="1"/>
          </rPr>
          <t>1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59" authorId="0" shapeId="0" xr:uid="{87E1D212-E66E-419F-8FA8-675D93DCDDAA}">
      <text>
        <r>
          <rPr>
            <b/>
            <sz val="9"/>
            <color indexed="81"/>
            <rFont val="Tahoma"/>
            <charset val="1"/>
          </rPr>
          <t>3 botox de obsequio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C59" authorId="0" shapeId="0" xr:uid="{0F8BA99E-DC05-4AF1-9EF7-BEB8890A0B1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de obs</t>
        </r>
      </text>
    </comment>
    <comment ref="AD59" authorId="0" shapeId="0" xr:uid="{1587888A-BADE-46CF-B7C7-ADFCAE3F3371}">
      <text>
        <r>
          <rPr>
            <b/>
            <sz val="9"/>
            <color indexed="81"/>
            <rFont val="Tahoma"/>
            <charset val="1"/>
          </rPr>
          <t>5 botox de obs</t>
        </r>
      </text>
    </comment>
    <comment ref="AE59" authorId="0" shapeId="0" xr:uid="{9989B88D-A047-41EE-BF5B-C9EA96DDDA7C}">
      <text>
        <r>
          <rPr>
            <sz val="9"/>
            <color indexed="81"/>
            <rFont val="Tahoma"/>
          </rPr>
          <t xml:space="preserve">2 botox
</t>
        </r>
      </text>
    </comment>
    <comment ref="Y70" authorId="0" shapeId="0" xr:uid="{D75C41D8-D5ED-403E-B028-BB0F45F1DB91}">
      <text>
        <r>
          <rPr>
            <sz val="9"/>
            <color indexed="81"/>
            <rFont val="Tahoma"/>
            <charset val="1"/>
          </rPr>
          <t xml:space="preserve">4 botox de obs
</t>
        </r>
      </text>
    </comment>
    <comment ref="AA70" authorId="0" shapeId="0" xr:uid="{35FFE7FA-749D-4233-B9D5-812380EB0CA4}">
      <text>
        <r>
          <rPr>
            <b/>
            <sz val="9"/>
            <color indexed="81"/>
            <rFont val="Tahoma"/>
            <charset val="1"/>
          </rPr>
          <t>2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81" authorId="0" shapeId="0" xr:uid="{097A3921-F7F6-4D1B-8555-8CA9D6D4C57C}">
      <text>
        <r>
          <rPr>
            <b/>
            <sz val="9"/>
            <color indexed="81"/>
            <rFont val="Tahoma"/>
            <charset val="1"/>
          </rPr>
          <t>2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81" authorId="0" shapeId="0" xr:uid="{17C8BF2C-ECEB-4CDC-8CDA-9523AF11BA2B}">
      <text>
        <r>
          <rPr>
            <b/>
            <sz val="9"/>
            <color indexed="81"/>
            <rFont val="Tahoma"/>
            <charset val="1"/>
          </rPr>
          <t>2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92" authorId="0" shapeId="0" xr:uid="{EE321C98-7419-442E-A6DE-397C9C5718A8}">
      <text>
        <r>
          <rPr>
            <sz val="9"/>
            <color indexed="81"/>
            <rFont val="Tahoma"/>
            <family val="2"/>
          </rPr>
          <t xml:space="preserve">3 botox de obsequio 
</t>
        </r>
      </text>
    </comment>
    <comment ref="C92" authorId="0" shapeId="0" xr:uid="{657AC4BD-7C64-41C4-8E3B-DD6EDAB98570}">
      <text>
        <r>
          <rPr>
            <sz val="9"/>
            <color indexed="81"/>
            <rFont val="Tahoma"/>
            <family val="2"/>
          </rPr>
          <t xml:space="preserve">6 botox de obsequio 
</t>
        </r>
      </text>
    </comment>
    <comment ref="G92" authorId="0" shapeId="0" xr:uid="{FE0AEAD5-53E4-443D-8E74-E8C5A0EB5538}">
      <text>
        <r>
          <rPr>
            <sz val="9"/>
            <color indexed="81"/>
            <rFont val="Tahoma"/>
            <family val="2"/>
          </rPr>
          <t xml:space="preserve">6 BOTOX DE OBSE
</t>
        </r>
      </text>
    </comment>
    <comment ref="H92" authorId="0" shapeId="0" xr:uid="{FE5C042D-08B9-46A6-A1BC-0538624EBC42}">
      <text>
        <r>
          <rPr>
            <b/>
            <sz val="9"/>
            <color indexed="81"/>
            <rFont val="Tahoma"/>
            <family val="2"/>
          </rPr>
          <t>7 BOTOX DE OBS</t>
        </r>
      </text>
    </comment>
    <comment ref="I92" authorId="0" shapeId="0" xr:uid="{0FDF4208-E291-41EB-A804-0A2EB281AE83}">
      <text>
        <r>
          <rPr>
            <b/>
            <sz val="9"/>
            <color indexed="81"/>
            <rFont val="Tahoma"/>
            <family val="2"/>
          </rPr>
          <t>5 BOTOX DE OBSEQUIO</t>
        </r>
      </text>
    </comment>
    <comment ref="J92" authorId="0" shapeId="0" xr:uid="{1AB57D85-C9DC-4113-83A6-4BE781F09518}">
      <text>
        <r>
          <rPr>
            <b/>
            <sz val="9"/>
            <color indexed="81"/>
            <rFont val="Tahoma"/>
            <family val="2"/>
          </rPr>
          <t>3 BOTOX DE OBS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2" authorId="0" shapeId="0" xr:uid="{A3503693-BC9A-4793-A7F7-718ED4DEABF3}">
      <text>
        <r>
          <rPr>
            <sz val="9"/>
            <color indexed="81"/>
            <rFont val="Tahoma"/>
            <charset val="1"/>
          </rPr>
          <t xml:space="preserve">9 botox de obs
</t>
        </r>
      </text>
    </comment>
    <comment ref="O92" authorId="0" shapeId="0" xr:uid="{28FBEE6A-D02E-4575-AED4-6DA3C47D6E6C}">
      <text>
        <r>
          <rPr>
            <sz val="9"/>
            <color indexed="81"/>
            <rFont val="Tahoma"/>
            <charset val="1"/>
          </rPr>
          <t xml:space="preserve">4 botox de obs
</t>
        </r>
      </text>
    </comment>
    <comment ref="P92" authorId="0" shapeId="0" xr:uid="{A0C0BA76-A574-498C-B916-D51C69685325}">
      <text>
        <r>
          <rPr>
            <sz val="9"/>
            <color indexed="81"/>
            <rFont val="Tahoma"/>
            <charset val="1"/>
          </rPr>
          <t xml:space="preserve">4 botox de obs
</t>
        </r>
      </text>
    </comment>
    <comment ref="Q92" authorId="0" shapeId="0" xr:uid="{E743039E-CBA5-4E3C-BA92-DBBA44DE1506}">
      <text>
        <r>
          <rPr>
            <sz val="9"/>
            <color indexed="81"/>
            <rFont val="Tahoma"/>
            <charset val="1"/>
          </rPr>
          <t xml:space="preserve">8 botox de obs
</t>
        </r>
      </text>
    </comment>
    <comment ref="R92" authorId="0" shapeId="0" xr:uid="{FB4BFF06-BA63-472E-8576-F77A4D9D740B}">
      <text>
        <r>
          <rPr>
            <sz val="9"/>
            <color indexed="81"/>
            <rFont val="Tahoma"/>
            <charset val="1"/>
          </rPr>
          <t xml:space="preserve">11 botox de obsequio
</t>
        </r>
      </text>
    </comment>
    <comment ref="U92" authorId="0" shapeId="0" xr:uid="{20D7FC02-1BCA-4E81-BD6F-C771AE1AC479}">
      <text>
        <r>
          <rPr>
            <b/>
            <sz val="9"/>
            <color indexed="81"/>
            <rFont val="Tahoma"/>
            <charset val="1"/>
          </rPr>
          <t>6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W92" authorId="0" shapeId="0" xr:uid="{6EE7A055-A9BF-4A3B-BE9F-E639367F41D7}">
      <text>
        <r>
          <rPr>
            <sz val="9"/>
            <color indexed="81"/>
            <rFont val="Tahoma"/>
            <family val="2"/>
          </rPr>
          <t xml:space="preserve">3 BOTOX DE OBS
</t>
        </r>
      </text>
    </comment>
    <comment ref="X92" authorId="0" shapeId="0" xr:uid="{046FF1EE-0AF4-4015-874C-344167F28982}">
      <text>
        <r>
          <rPr>
            <sz val="9"/>
            <color indexed="81"/>
            <rFont val="Tahoma"/>
            <family val="2"/>
          </rPr>
          <t xml:space="preserve">3 BOTOX DE OBS
</t>
        </r>
      </text>
    </comment>
    <comment ref="Y92" authorId="0" shapeId="0" xr:uid="{4DF19F26-4CB5-4787-969B-4C9E4D15559C}">
      <text>
        <r>
          <rPr>
            <b/>
            <sz val="9"/>
            <color indexed="81"/>
            <rFont val="Tahoma"/>
            <charset val="1"/>
          </rPr>
          <t>11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92" authorId="0" shapeId="0" xr:uid="{2BD1D875-4870-4864-B3A5-3BFC99C9D524}">
      <text>
        <r>
          <rPr>
            <b/>
            <sz val="9"/>
            <color indexed="81"/>
            <rFont val="Tahoma"/>
            <charset val="1"/>
          </rPr>
          <t>1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92" authorId="0" shapeId="0" xr:uid="{6DBB64F4-22A0-4ACF-A714-2187E61CB5EA}">
      <text>
        <r>
          <rPr>
            <b/>
            <sz val="9"/>
            <color indexed="81"/>
            <rFont val="Tahoma"/>
            <charset val="1"/>
          </rPr>
          <t>3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C92" authorId="0" shapeId="0" xr:uid="{544A735F-783D-45F4-9A5B-4CD0B4FE2154}">
      <text>
        <r>
          <rPr>
            <b/>
            <sz val="9"/>
            <color indexed="81"/>
            <rFont val="Tahoma"/>
            <charset val="1"/>
          </rPr>
          <t>1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D92" authorId="0" shapeId="0" xr:uid="{9EBFFAB5-E41B-418F-A3B5-653E00C13D30}">
      <text>
        <r>
          <rPr>
            <b/>
            <sz val="9"/>
            <color indexed="81"/>
            <rFont val="Tahoma"/>
            <charset val="1"/>
          </rPr>
          <t>12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E92" authorId="0" shapeId="0" xr:uid="{5D463CE1-0B24-45AE-9ACA-D3E68766325C}">
      <text>
        <r>
          <rPr>
            <sz val="9"/>
            <color indexed="81"/>
            <rFont val="Tahoma"/>
          </rPr>
          <t xml:space="preserve">7 botox obs
</t>
        </r>
      </text>
    </comment>
    <comment ref="E96" authorId="0" shapeId="0" xr:uid="{24BD91DD-84B2-4BA9-A6EA-860C89F1BFD2}">
      <text>
        <r>
          <rPr>
            <sz val="9"/>
            <color indexed="81"/>
            <rFont val="Tahoma"/>
            <family val="2"/>
          </rPr>
          <t xml:space="preserve">por aforo
</t>
        </r>
      </text>
    </comment>
    <comment ref="B103" authorId="0" shapeId="0" xr:uid="{32E4DE1E-83B2-44B5-B551-97674F96C170}">
      <text>
        <r>
          <rPr>
            <sz val="9"/>
            <color indexed="81"/>
            <rFont val="Tahoma"/>
            <family val="2"/>
          </rPr>
          <t xml:space="preserve">3 botox de obsequio 
</t>
        </r>
      </text>
    </comment>
    <comment ref="C103" authorId="0" shapeId="0" xr:uid="{50451D7C-533B-402A-AB1B-86D94CCFD9DE}">
      <text>
        <r>
          <rPr>
            <b/>
            <sz val="9"/>
            <color indexed="81"/>
            <rFont val="Tahoma"/>
            <family val="2"/>
          </rPr>
          <t xml:space="preserve">5 botox de obsequio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3" authorId="0" shapeId="0" xr:uid="{BB49AACF-2F4F-40BF-9C26-B82750AEAD27}">
      <text>
        <r>
          <rPr>
            <sz val="9"/>
            <color indexed="81"/>
            <rFont val="Tahoma"/>
            <family val="2"/>
          </rPr>
          <t>8 BOTOX DE OBS</t>
        </r>
      </text>
    </comment>
    <comment ref="H103" authorId="0" shapeId="0" xr:uid="{13FB02A4-377A-48CB-A431-4988D7E146AC}">
      <text>
        <r>
          <rPr>
            <sz val="9"/>
            <color indexed="81"/>
            <rFont val="Tahoma"/>
            <family val="2"/>
          </rPr>
          <t xml:space="preserve">6 BOTOX DE OBSEQUIO
</t>
        </r>
      </text>
    </comment>
    <comment ref="I103" authorId="0" shapeId="0" xr:uid="{76CB906E-29AF-4EC9-93F5-E78ED1DF99B4}">
      <text>
        <r>
          <rPr>
            <b/>
            <sz val="9"/>
            <color indexed="81"/>
            <rFont val="Tahoma"/>
            <family val="2"/>
          </rPr>
          <t>4 BOTOX DE OBS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3" authorId="0" shapeId="0" xr:uid="{C8E13226-0E6E-4561-BAE4-89B70ECA5A36}">
      <text>
        <r>
          <rPr>
            <b/>
            <sz val="9"/>
            <color indexed="81"/>
            <rFont val="Tahoma"/>
            <family val="2"/>
          </rPr>
          <t>6 BOTOX DE OBS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3" authorId="0" shapeId="0" xr:uid="{47A41637-2EA7-4900-950B-4CBC5C0E4AB9}">
      <text>
        <r>
          <rPr>
            <b/>
            <sz val="9"/>
            <color indexed="81"/>
            <rFont val="Tahoma"/>
            <charset val="1"/>
          </rPr>
          <t>12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103" authorId="0" shapeId="0" xr:uid="{6F544EEE-7045-4521-9A38-3EF469EB8F82}">
      <text>
        <r>
          <rPr>
            <b/>
            <sz val="9"/>
            <color indexed="81"/>
            <rFont val="Tahoma"/>
            <charset val="1"/>
          </rPr>
          <t>10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103" authorId="0" shapeId="0" xr:uid="{593B6CDE-317B-4D0D-B68D-4434F231AA87}">
      <text>
        <r>
          <rPr>
            <b/>
            <sz val="9"/>
            <color indexed="81"/>
            <rFont val="Tahoma"/>
            <charset val="1"/>
          </rPr>
          <t>11 BOTOX DE OBS</t>
        </r>
      </text>
    </comment>
    <comment ref="P103" authorId="0" shapeId="0" xr:uid="{BB1EF697-E0BA-4C2C-AE43-5560F2852DBF}">
      <text>
        <r>
          <rPr>
            <b/>
            <sz val="9"/>
            <color indexed="81"/>
            <rFont val="Tahoma"/>
            <charset val="1"/>
          </rPr>
          <t>4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103" authorId="0" shapeId="0" xr:uid="{8D65CB62-062E-48D5-9914-9FD15F841C50}">
      <text>
        <r>
          <rPr>
            <b/>
            <sz val="9"/>
            <color indexed="81"/>
            <rFont val="Tahoma"/>
            <charset val="1"/>
          </rPr>
          <t>4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R103" authorId="0" shapeId="0" xr:uid="{2869F062-4218-47E5-9C5C-5ADB2A965642}">
      <text>
        <r>
          <rPr>
            <b/>
            <sz val="9"/>
            <color indexed="81"/>
            <rFont val="Tahoma"/>
            <charset val="1"/>
          </rPr>
          <t>14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103" authorId="0" shapeId="0" xr:uid="{2FFAD82C-3AC5-4EC4-919A-A6670FFA3FD0}">
      <text>
        <r>
          <rPr>
            <b/>
            <sz val="9"/>
            <color indexed="81"/>
            <rFont val="Tahoma"/>
            <charset val="1"/>
          </rPr>
          <t>2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U103" authorId="0" shapeId="0" xr:uid="{1D9171DC-E91B-44A2-ADF6-A010C365C70D}">
      <text>
        <r>
          <rPr>
            <b/>
            <sz val="9"/>
            <color indexed="81"/>
            <rFont val="Tahoma"/>
            <charset val="1"/>
          </rPr>
          <t>4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103" authorId="0" shapeId="0" xr:uid="{FE566D6A-5ABD-41A1-8E6E-28604D15450A}">
      <text>
        <r>
          <rPr>
            <sz val="9"/>
            <color indexed="81"/>
            <rFont val="Tahoma"/>
            <family val="2"/>
          </rPr>
          <t xml:space="preserve">2 BOTOX DE OBS
</t>
        </r>
      </text>
    </comment>
    <comment ref="W103" authorId="0" shapeId="0" xr:uid="{659D8C44-1F92-4CAA-895D-4BA947FB6156}">
      <text>
        <r>
          <rPr>
            <sz val="9"/>
            <color indexed="81"/>
            <rFont val="Tahoma"/>
            <family val="2"/>
          </rPr>
          <t xml:space="preserve">3 BOTOX DE OBS
</t>
        </r>
      </text>
    </comment>
    <comment ref="X103" authorId="0" shapeId="0" xr:uid="{558CC622-EC03-4758-8C70-8AD90B790339}">
      <text>
        <r>
          <rPr>
            <sz val="9"/>
            <color indexed="81"/>
            <rFont val="Tahoma"/>
            <family val="2"/>
          </rPr>
          <t xml:space="preserve">2 BOTOX DE OBS
</t>
        </r>
      </text>
    </comment>
    <comment ref="Y103" authorId="0" shapeId="0" xr:uid="{45F48FCD-59C9-4E0D-BD6D-2C68EED33628}">
      <text>
        <r>
          <rPr>
            <b/>
            <sz val="9"/>
            <color indexed="81"/>
            <rFont val="Tahoma"/>
            <charset val="1"/>
          </rPr>
          <t>10 botox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103" authorId="0" shapeId="0" xr:uid="{373FC28E-3720-4DA4-8849-7D555DD961F5}">
      <text>
        <r>
          <rPr>
            <b/>
            <sz val="9"/>
            <color indexed="81"/>
            <rFont val="Tahoma"/>
            <charset val="1"/>
          </rPr>
          <t>2 botox obs</t>
        </r>
      </text>
    </comment>
    <comment ref="AC103" authorId="0" shapeId="0" xr:uid="{723A8390-AE05-4BC2-B96A-947280199785}">
      <text>
        <r>
          <rPr>
            <b/>
            <sz val="9"/>
            <color indexed="81"/>
            <rFont val="Tahoma"/>
            <charset val="1"/>
          </rPr>
          <t>5 botox de obs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D103" authorId="0" shapeId="0" xr:uid="{375CF134-21D4-4277-A483-E5B53B68023D}">
      <text>
        <r>
          <rPr>
            <sz val="9"/>
            <color indexed="81"/>
            <rFont val="Tahoma"/>
            <charset val="1"/>
          </rPr>
          <t xml:space="preserve">4 botox obs
</t>
        </r>
      </text>
    </comment>
    <comment ref="AE103" authorId="0" shapeId="0" xr:uid="{00C5553B-A1DA-472B-857E-6408D0DEFA25}">
      <text>
        <r>
          <rPr>
            <sz val="9"/>
            <color indexed="81"/>
            <rFont val="Tahoma"/>
          </rPr>
          <t xml:space="preserve">5 botox obs
</t>
        </r>
      </text>
    </comment>
    <comment ref="E107" authorId="0" shapeId="0" xr:uid="{BDC21230-2E9D-439E-B386-734D016F9891}">
      <text>
        <r>
          <rPr>
            <b/>
            <sz val="9"/>
            <color indexed="81"/>
            <rFont val="Tahoma"/>
            <family val="2"/>
          </rPr>
          <t>por aforo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H8" authorId="0" shapeId="0" xr:uid="{A2C3AFC9-A250-4371-B0B8-A4C984ED150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eduar
</t>
        </r>
      </text>
    </comment>
    <comment ref="R8" authorId="0" shapeId="0" xr:uid="{E2953658-A7D0-4816-AF0F-18DE46B45F7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eduar</t>
        </r>
      </text>
    </comment>
    <comment ref="T8" authorId="0" shapeId="0" xr:uid="{4F5A373C-EADF-4ED0-846B-BFB15F91949A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michell</t>
        </r>
      </text>
    </comment>
    <comment ref="U8" authorId="0" shapeId="0" xr:uid="{58DB8EE7-8C20-499C-9128-F0104AFFB739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s/e, se fueron por falta de estilistas </t>
        </r>
      </text>
    </comment>
    <comment ref="V8" authorId="0" shapeId="0" xr:uid="{87CAD095-EA17-43E4-8F0B-1D7736BCCA50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loreni</t>
        </r>
      </text>
    </comment>
    <comment ref="AA8" authorId="0" shapeId="0" xr:uid="{6CD386BC-A0BB-4757-8C03-0A075F5867C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JOHANA</t>
        </r>
      </text>
    </comment>
    <comment ref="AD8" authorId="0" shapeId="0" xr:uid="{547AE881-3F0D-4952-AAAE-8BC35D9EF4F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LUX</t>
        </r>
      </text>
    </comment>
    <comment ref="B19" authorId="0" shapeId="0" xr:uid="{82526554-7A5D-4526-B64B-7D9BB0C99077}">
      <text>
        <r>
          <rPr>
            <b/>
            <sz val="9"/>
            <color indexed="81"/>
            <rFont val="Tahoma"/>
          </rPr>
          <t>Franco Arrascue:</t>
        </r>
        <r>
          <rPr>
            <sz val="9"/>
            <color indexed="81"/>
            <rFont val="Tahoma"/>
          </rPr>
          <t xml:space="preserve">
SOFIA</t>
        </r>
      </text>
    </comment>
    <comment ref="C19" authorId="0" shapeId="0" xr:uid="{A2B605ED-B702-4E4A-9412-87488E63DFCB}">
      <text>
        <r>
          <rPr>
            <sz val="9"/>
            <color indexed="81"/>
            <rFont val="Tahoma"/>
            <charset val="1"/>
          </rPr>
          <t xml:space="preserve">alberli
</t>
        </r>
      </text>
    </comment>
    <comment ref="E19" authorId="0" shapeId="0" xr:uid="{77A00135-79AC-4C79-B1D5-DA50908FD0F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ana</t>
        </r>
      </text>
    </comment>
    <comment ref="F19" authorId="0" shapeId="0" xr:uid="{F004B9D9-669A-4CAF-8E09-9919DB8A4A7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joselin
</t>
        </r>
      </text>
    </comment>
    <comment ref="H19" authorId="0" shapeId="0" xr:uid="{D4F615DB-C572-4B90-BF2F-4A9A6FBA691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 
osmery</t>
        </r>
      </text>
    </comment>
    <comment ref="I19" authorId="0" shapeId="0" xr:uid="{28FAE318-A39A-4718-8535-1007911616E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
osmery
</t>
        </r>
      </text>
    </comment>
    <comment ref="P19" authorId="0" shapeId="0" xr:uid="{5F1C50E8-4F7E-44A2-91EE-14D474A7E95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alberli</t>
        </r>
      </text>
    </comment>
    <comment ref="Q19" authorId="0" shapeId="0" xr:uid="{F78544A5-3ACD-4EBF-A064-8AE014E2436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yoselin</t>
        </r>
      </text>
    </comment>
    <comment ref="S19" authorId="0" shapeId="0" xr:uid="{13B7B450-E5E8-46A3-BEA0-FB40FAC049B7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alberli</t>
        </r>
      </text>
    </comment>
    <comment ref="T19" authorId="0" shapeId="0" xr:uid="{8FC5306B-0E4A-4C5A-8C85-06360D1C61E7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flor</t>
        </r>
      </text>
    </comment>
    <comment ref="V19" authorId="0" shapeId="0" xr:uid="{7354E19F-4507-4E58-B57E-36F58BDA0F70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karina , clientes se fueron por garantia de karina la estilista hizo comentarios y la cliente de alberli se fue  por desconfianza, y se le fueron 2 por precio </t>
        </r>
      </text>
    </comment>
    <comment ref="B30" authorId="0" shapeId="0" xr:uid="{2D372CC1-F80D-450C-831E-0AF10FDE1A00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</t>
        </r>
      </text>
    </comment>
    <comment ref="C30" authorId="0" shapeId="0" xr:uid="{62A4A7A9-810D-400F-966C-927ADA0E2E7D}">
      <text>
        <r>
          <rPr>
            <sz val="9"/>
            <color indexed="81"/>
            <rFont val="Tahoma"/>
            <charset val="1"/>
          </rPr>
          <t xml:space="preserve">1 oneida 
1 sofia </t>
        </r>
      </text>
    </comment>
    <comment ref="F30" authorId="0" shapeId="0" xr:uid="{C5342BFA-21C3-4CBC-9F8F-96F5DA95F82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oneida 
mileidy
mileidy
s/e
</t>
        </r>
      </text>
    </comment>
    <comment ref="G30" authorId="0" shapeId="0" xr:uid="{C5DCA2E1-7210-4EC7-ABF2-3EA1A1BE31E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</t>
        </r>
      </text>
    </comment>
    <comment ref="H30" authorId="0" shapeId="0" xr:uid="{BEB7AFF4-E9E0-4739-BA06-584985BD74C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oneida
sofia
saray
xsvier</t>
        </r>
      </text>
    </comment>
    <comment ref="I30" authorId="0" shapeId="0" xr:uid="{35CCCF07-B16C-433A-9F91-DD2E9D77703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carlos</t>
        </r>
      </text>
    </comment>
    <comment ref="J30" authorId="0" shapeId="0" xr:uid="{2734770F-74D9-4826-96E7-22A63E1CF0C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s/n
sofis
xavier</t>
        </r>
      </text>
    </comment>
    <comment ref="N30" authorId="0" shapeId="0" xr:uid="{3F9076E9-1FDC-49BD-8690-B5734A78566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saray</t>
        </r>
      </text>
    </comment>
    <comment ref="Q30" authorId="0" shapeId="0" xr:uid="{6DF543E5-2D15-4930-BCA9-DB883EE4918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 carlos </t>
        </r>
      </text>
    </comment>
    <comment ref="S30" authorId="0" shapeId="0" xr:uid="{EE753F8B-676E-459C-B331-DA774DC2343B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xavier</t>
        </r>
      </text>
    </comment>
    <comment ref="U30" authorId="0" shapeId="0" xr:uid="{A3078551-8611-494E-8FD5-582DB3938D57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saray</t>
        </r>
      </text>
    </comment>
    <comment ref="X30" authorId="0" shapeId="0" xr:uid="{EE6813DA-EA71-44AC-AA13-D9FC32A4562C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Xavier</t>
        </r>
      </text>
    </comment>
    <comment ref="Z30" authorId="0" shapeId="0" xr:uid="{5E5FE9E5-AC59-413D-A0D2-9EC89927193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</t>
        </r>
      </text>
    </comment>
    <comment ref="B41" authorId="0" shapeId="0" xr:uid="{9369A612-7144-41F6-885B-988A1A1E5B3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celeste</t>
        </r>
      </text>
    </comment>
    <comment ref="C41" authorId="0" shapeId="0" xr:uid="{726AA4EF-A54E-4DC2-95A0-4B1EB7FCE69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rosangel</t>
        </r>
      </text>
    </comment>
    <comment ref="D41" authorId="0" shapeId="0" xr:uid="{A797647D-7FF7-4D36-8609-621520D8CA9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scarle</t>
        </r>
      </text>
    </comment>
    <comment ref="H41" authorId="0" shapeId="0" xr:uid="{65BC929F-2B47-4D32-A04B-0C37303C5DE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sofia</t>
        </r>
      </text>
    </comment>
    <comment ref="K41" authorId="0" shapeId="0" xr:uid="{BB385E19-95AA-49C3-8D94-41DA4C9C932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scarle</t>
        </r>
      </text>
    </comment>
    <comment ref="O41" authorId="0" shapeId="0" xr:uid="{CA53139B-7615-4409-9B7D-1ADEF7ECECD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dora</t>
        </r>
      </text>
    </comment>
    <comment ref="W41" authorId="0" shapeId="0" xr:uid="{ECF6E309-2B33-41A6-BF3C-FAEA0B194A84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emilie</t>
        </r>
      </text>
    </comment>
    <comment ref="Y41" authorId="0" shapeId="0" xr:uid="{65C7B034-27B7-4EE5-82BA-3663EAC89995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scarle</t>
        </r>
      </text>
    </comment>
    <comment ref="AD41" authorId="0" shapeId="0" xr:uid="{92E7FA62-5C00-4C5A-A475-C9962DF9D92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scarlet</t>
        </r>
      </text>
    </comment>
    <comment ref="AE41" authorId="0" shapeId="0" xr:uid="{704D8FD5-7BBF-49B9-817C-C5FF5FC0B05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una reagendo y asisitio el 31/5
</t>
        </r>
      </text>
    </comment>
    <comment ref="S48" authorId="0" shapeId="0" xr:uid="{7FE566D1-E940-4775-BE34-030D91E27205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 botox obs</t>
        </r>
      </text>
    </comment>
    <comment ref="C52" authorId="0" shapeId="0" xr:uid="{77FAE713-7514-4BAC-A56A-2A6E823F5DA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D52" authorId="0" shapeId="0" xr:uid="{23D18CC1-0B31-42D3-83B1-D82C0EA8674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
erika
</t>
        </r>
      </text>
    </comment>
    <comment ref="F52" authorId="0" shapeId="0" xr:uid="{17A1B0DE-6248-4068-879C-F5D63D97469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</t>
        </r>
      </text>
    </comment>
    <comment ref="H52" authorId="0" shapeId="0" xr:uid="{A09D20BD-F1B4-471A-9851-62D7CEC4FD8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andri 
pablo
</t>
        </r>
      </text>
    </comment>
    <comment ref="I52" authorId="0" shapeId="0" xr:uid="{D7975F71-340C-43DD-BEB5-CE894264EA6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vanessa
</t>
        </r>
      </text>
    </comment>
    <comment ref="M52" authorId="0" shapeId="0" xr:uid="{D0267705-7153-43E8-94C8-F84E338F0340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</t>
        </r>
      </text>
    </comment>
    <comment ref="N52" authorId="0" shapeId="0" xr:uid="{5B1DDC10-6BB4-420B-9E06-90400BD59760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vanesa y andri</t>
        </r>
      </text>
    </comment>
    <comment ref="O52" authorId="0" shapeId="0" xr:uid="{1DEDAB58-2DA6-4DFA-8954-F315F8E1EFE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Q52" authorId="0" shapeId="0" xr:uid="{66700AB1-EDE9-45DD-A76A-FC2353A1570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 y s/e</t>
        </r>
      </text>
    </comment>
    <comment ref="S52" authorId="0" shapeId="0" xr:uid="{DC17EE7A-B033-46FD-827F-289EE321B8E4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vanessa</t>
        </r>
      </text>
    </comment>
    <comment ref="T52" authorId="0" shapeId="0" xr:uid="{D975C6D6-7A09-4C62-B5C1-380D39FC7321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livia</t>
        </r>
      </text>
    </comment>
    <comment ref="V52" authorId="0" shapeId="0" xr:uid="{CA0E2215-244F-4EC3-B99C-4241050165B4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erika</t>
        </r>
      </text>
    </comment>
    <comment ref="W52" authorId="0" shapeId="0" xr:uid="{D99392AD-7C34-411B-AB0C-5988219E8529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s/e 
andri</t>
        </r>
      </text>
    </comment>
    <comment ref="X52" authorId="0" shapeId="0" xr:uid="{36620B97-EE9E-4C1F-BCD3-1CB0F5377FA8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pablo</t>
        </r>
      </text>
    </comment>
    <comment ref="Y52" authorId="0" shapeId="0" xr:uid="{5F7F396A-AE8D-4840-8BDB-0581D713E015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s/e
vanessa</t>
        </r>
      </text>
    </comment>
    <comment ref="Z52" authorId="0" shapeId="0" xr:uid="{A6467717-4BE1-4797-AE5B-57FBC6FF42E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vanessa ambas</t>
        </r>
      </text>
    </comment>
    <comment ref="AB52" authorId="0" shapeId="0" xr:uid="{455B04EA-2867-42BB-B240-23AD8DA4222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</t>
        </r>
      </text>
    </comment>
    <comment ref="AC52" authorId="0" shapeId="0" xr:uid="{45ED3279-A059-4E04-B920-215C3C9C82A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 y andri</t>
        </r>
      </text>
    </comment>
    <comment ref="AD52" authorId="0" shapeId="0" xr:uid="{76744FCF-FA66-4D44-AB31-3443E7E7CC8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andri</t>
        </r>
      </text>
    </comment>
    <comment ref="E59" authorId="0" shapeId="0" xr:uid="{9363CF61-850E-4FB9-B3F0-EAA0731993D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de obs</t>
        </r>
      </text>
    </comment>
    <comment ref="F59" authorId="0" shapeId="0" xr:uid="{1D871BAD-B97E-444C-A056-D64D8E7A489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M59" authorId="0" shapeId="0" xr:uid="{59E533D8-5DB5-4A0A-A5CF-5F1BD88EAAF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S59" authorId="0" shapeId="0" xr:uid="{44E0C643-E38E-478C-8CB7-29E32624F86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T59" authorId="0" shapeId="0" xr:uid="{32B892B4-84F8-46AC-9F81-9A75D530905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U59" authorId="0" shapeId="0" xr:uid="{D873AAA6-5F18-4229-9182-43D037D69F8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Z59" authorId="0" shapeId="0" xr:uid="{74BDBC2F-6CCB-4C3B-BBE7-5690A2A5CEC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4 botox obs</t>
        </r>
      </text>
    </comment>
    <comment ref="AA59" authorId="0" shapeId="0" xr:uid="{2AD768D8-2294-499D-B6CD-4EFC24CC65C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AB59" authorId="0" shapeId="0" xr:uid="{7492C499-FE1A-4F96-BF79-B0A6EBCD187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AC59" authorId="0" shapeId="0" xr:uid="{A8F0E3EF-DCA2-4D15-9925-820D4DE1362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O70" authorId="0" shapeId="0" xr:uid="{D786EFDE-21CE-40E7-97BB-9CA807D2905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S70" authorId="0" shapeId="0" xr:uid="{250F8854-F730-4493-B089-650EE7D3DE9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T70" authorId="0" shapeId="0" xr:uid="{D5F37288-0DC4-4C13-AF5A-495CC5FCFDD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V70" authorId="0" shapeId="0" xr:uid="{D829709A-7D61-46B9-BCC5-0F6FF1A91B9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Y70" authorId="0" shapeId="0" xr:uid="{F940A77B-7F5C-4D00-8A47-A0DCEE37226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Z70" authorId="0" shapeId="0" xr:uid="{DE64D1B5-CC19-4D40-9165-7DDFE882700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AA70" authorId="0" shapeId="0" xr:uid="{829FF538-B822-4EF5-8A3F-2098E6CFFAC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H81" authorId="0" shapeId="0" xr:uid="{C892AAEC-ED3A-4DA9-AB9D-8C91578EA20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</t>
        </r>
      </text>
    </comment>
    <comment ref="T81" authorId="0" shapeId="0" xr:uid="{B82B1FDC-30B8-4B4A-A3E9-E15AB657E79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ons</t>
        </r>
      </text>
    </comment>
    <comment ref="AB81" authorId="0" shapeId="0" xr:uid="{71879F7F-8B1A-47EA-9537-2AD4775FEBE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AD81" authorId="0" shapeId="0" xr:uid="{B8ED6035-EE47-4A43-A4EF-207D5CFE973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garantias</t>
        </r>
      </text>
    </comment>
    <comment ref="D92" authorId="0" shapeId="0" xr:uid="{80833732-95D6-4CDF-B259-CC76CAB98BF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botox obs</t>
        </r>
      </text>
    </comment>
    <comment ref="E92" authorId="0" shapeId="0" xr:uid="{699662F2-3457-42E7-A6FD-F9047B84E38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5 botox obs</t>
        </r>
      </text>
    </comment>
    <comment ref="F92" authorId="0" shapeId="0" xr:uid="{B5327CE5-97EB-4354-8649-199BE5A7AAF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9 botox obs</t>
        </r>
      </text>
    </comment>
    <comment ref="G92" authorId="0" shapeId="0" xr:uid="{C617640C-3FC9-470F-8D68-8430C98138E0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H92" authorId="0" shapeId="0" xr:uid="{114B4388-BD43-41E5-880A-A1B13AE3F59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7 botox obs</t>
        </r>
      </text>
    </comment>
    <comment ref="I92" authorId="0" shapeId="0" xr:uid="{6EC8858E-F8C9-4D5D-AD1D-F6D639C031F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18 botox obs</t>
        </r>
      </text>
    </comment>
    <comment ref="L92" authorId="0" shapeId="0" xr:uid="{DE041E13-CFD7-44B1-9A5F-B60F997CFE4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botox obs</t>
        </r>
      </text>
    </comment>
    <comment ref="M92" authorId="0" shapeId="0" xr:uid="{83296943-2AB9-41D6-B34F-5FB1B032311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12 botox obs</t>
        </r>
      </text>
    </comment>
    <comment ref="N92" authorId="0" shapeId="0" xr:uid="{15403CD0-7E1F-4EC1-923D-0BF1A9583BF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4 botox obs</t>
        </r>
      </text>
    </comment>
    <comment ref="O92" authorId="0" shapeId="0" xr:uid="{04288D5D-69B3-4B92-8448-34B7FCC8AE4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7 botox obs</t>
        </r>
      </text>
    </comment>
    <comment ref="P92" authorId="0" shapeId="0" xr:uid="{44C6EB58-F806-4459-896C-E07DCAB9C0E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17 botox obs</t>
        </r>
      </text>
    </comment>
    <comment ref="S92" authorId="0" shapeId="0" xr:uid="{7679FEEA-5444-4C80-9BD5-5FFBF08303A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12 botox obs</t>
        </r>
      </text>
    </comment>
    <comment ref="T92" authorId="0" shapeId="0" xr:uid="{D33CC462-98AD-40D6-BF36-8E1FC1556E8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4 botox obs</t>
        </r>
      </text>
    </comment>
    <comment ref="U92" authorId="0" shapeId="0" xr:uid="{D0685B94-25AF-4A75-87C3-139E0F8EE06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8 botox obs</t>
        </r>
      </text>
    </comment>
    <comment ref="V92" authorId="0" shapeId="0" xr:uid="{A36CDC35-ECB1-470A-9976-B1A698F7A36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15 botox obs</t>
        </r>
      </text>
    </comment>
    <comment ref="W92" authorId="0" shapeId="0" xr:uid="{B6E95CD0-77EF-4E8E-8335-55ECD79669B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31 botox obs</t>
        </r>
      </text>
    </comment>
    <comment ref="Z92" authorId="0" shapeId="0" xr:uid="{120AAE92-EA67-4C65-B2DF-C8C11C0F90B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9 botox obs</t>
        </r>
      </text>
    </comment>
    <comment ref="AA92" authorId="0" shapeId="0" xr:uid="{75ADC562-B2F5-4B45-B0D5-94432FCD1AC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8 botox obs</t>
        </r>
      </text>
    </comment>
    <comment ref="AB92" authorId="0" shapeId="0" xr:uid="{7F7FFA27-C998-4AD7-8026-D3B6B6225B5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13 botox obs</t>
        </r>
      </text>
    </comment>
    <comment ref="AC92" authorId="0" shapeId="0" xr:uid="{5610A11D-F0BE-428E-892E-0D4B3B30B26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14 botox obs</t>
        </r>
      </text>
    </comment>
    <comment ref="AD92" authorId="0" shapeId="0" xr:uid="{18D474D2-1D34-4576-8B02-B62B91AC2D4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7 botox obs</t>
        </r>
      </text>
    </comment>
    <comment ref="C103" authorId="0" shapeId="0" xr:uid="{DCBAFAE0-F8C8-4630-A18D-E1F7EE172CB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E103" authorId="0" shapeId="0" xr:uid="{13530CAF-571C-45F1-B714-61DA3A3809D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pobs</t>
        </r>
      </text>
    </comment>
    <comment ref="F103" authorId="0" shapeId="0" xr:uid="{350D2346-BBE6-4D11-8D20-F029826A4560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5 bpotox obs</t>
        </r>
      </text>
    </comment>
    <comment ref="H103" authorId="0" shapeId="0" xr:uid="{4295935A-CCF8-47FC-8BD4-E063588C83C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botox obs</t>
        </r>
      </text>
    </comment>
    <comment ref="I103" authorId="0" shapeId="0" xr:uid="{4818E38E-DA73-429E-AEF8-962A9E363270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11 botox obs</t>
        </r>
      </text>
    </comment>
    <comment ref="M103" authorId="0" shapeId="0" xr:uid="{994DF0C9-9726-44CB-811F-F668230A82B6}">
      <text>
        <r>
          <rPr>
            <b/>
            <sz val="9"/>
            <color indexed="81"/>
            <rFont val="Tahoma"/>
            <charset val="1"/>
          </rPr>
          <t>Franco Arrascue:
2 botox obs</t>
        </r>
      </text>
    </comment>
    <comment ref="N103" authorId="0" shapeId="0" xr:uid="{E201FEBF-0C3B-44F2-917B-9358E5339A4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botox obs</t>
        </r>
      </text>
    </comment>
    <comment ref="O103" authorId="0" shapeId="0" xr:uid="{2074F2D0-C5E2-4710-BCE2-A7D01F5698E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P103" authorId="0" shapeId="0" xr:uid="{FFE5A223-9E84-4EFD-BE41-B53E60EB617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10 botox obs</t>
        </r>
      </text>
    </comment>
    <comment ref="S103" authorId="0" shapeId="0" xr:uid="{72E92472-24C3-4782-8750-6E1F291E833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botox obs</t>
        </r>
      </text>
    </comment>
    <comment ref="T103" authorId="0" shapeId="0" xr:uid="{734D9B57-CE97-4796-9521-B6FE6160995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10 botox obs</t>
        </r>
      </text>
    </comment>
    <comment ref="U103" authorId="0" shapeId="0" xr:uid="{2196EC7E-7D86-43E8-A158-5A9A0D42B23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botox obs</t>
        </r>
      </text>
    </comment>
    <comment ref="V103" authorId="0" shapeId="0" xr:uid="{0B92C9A5-9F08-400A-97DF-AFF57B01A31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7 botox obs</t>
        </r>
      </text>
    </comment>
    <comment ref="W103" authorId="0" shapeId="0" xr:uid="{DC3F5B71-FD07-48B8-90D2-8D306971192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18 obs </t>
        </r>
      </text>
    </comment>
    <comment ref="X103" authorId="0" shapeId="0" xr:uid="{EE0CD89B-3167-4863-83EA-0D6B244FF07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Z103" authorId="0" shapeId="0" xr:uid="{D7297ED1-0336-4328-B67F-320D95C3C9D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botox obs</t>
        </r>
      </text>
    </comment>
    <comment ref="AA103" authorId="0" shapeId="0" xr:uid="{CB8BF0DA-C0B6-472E-A7D3-AE7DF394053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10 obs</t>
        </r>
      </text>
    </comment>
    <comment ref="AB103" authorId="0" shapeId="0" xr:uid="{185737A2-FC9C-40DF-975D-74386724ED4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6 obs</t>
        </r>
      </text>
    </comment>
    <comment ref="AC103" authorId="0" shapeId="0" xr:uid="{E4321E1F-402E-4C64-9AB0-69731332EAE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obs</t>
        </r>
      </text>
    </comment>
    <comment ref="AD103" authorId="0" shapeId="0" xr:uid="{86FA2682-8A56-447B-8C4A-283127418D2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8 obs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F8" authorId="0" shapeId="0" xr:uid="{7E7170DC-AF03-441A-9D61-7B7F91413C6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catherine</t>
        </r>
      </text>
    </comment>
    <comment ref="G8" authorId="0" shapeId="0" xr:uid="{1FE245C4-004D-4EF8-97DE-DC4E85AADD4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sin nombre
1 eduar
1 romell
1 romell</t>
        </r>
      </text>
    </comment>
    <comment ref="I8" authorId="0" shapeId="0" xr:uid="{C0899856-9654-40CE-8A93-524641D8693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loreni</t>
        </r>
      </text>
    </comment>
    <comment ref="N8" authorId="0" shapeId="0" xr:uid="{778C82E2-ACAF-418C-A531-8DE304E3F54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luz</t>
        </r>
      </text>
    </comment>
    <comment ref="T8" authorId="0" shapeId="0" xr:uid="{72FDF587-204D-4CC1-9BC5-5D6B7A678FE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eduar 1 se fue recibio una llamada de emerencia </t>
        </r>
      </text>
    </comment>
    <comment ref="U8" authorId="0" shapeId="0" xr:uid="{631DBE65-5D62-4491-9165-1637F666C11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cherlys
1 katerine</t>
        </r>
      </text>
    </comment>
    <comment ref="Z8" authorId="0" shapeId="0" xr:uid="{B1D42ACF-86BD-4842-BD92-3A7505C8CAC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loreni</t>
        </r>
      </text>
    </comment>
    <comment ref="AB8" authorId="0" shapeId="0" xr:uid="{F0FD5465-9CCE-4B14-BA93-624DB58A910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loreni dice que reagendo</t>
        </r>
      </text>
    </comment>
    <comment ref="AD8" authorId="0" shapeId="0" xr:uid="{5CF06E5A-D055-4ABF-A7AD-723DD9F5691D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2 loreny
2 sin nombre </t>
        </r>
      </text>
    </comment>
    <comment ref="D19" authorId="0" shapeId="0" xr:uid="{A0BCFDBB-49BD-423E-9ECB-7B3331B612F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ana</t>
        </r>
      </text>
    </comment>
    <comment ref="G19" authorId="0" shapeId="0" xr:uid="{30D18A31-1B1D-43C1-8C2B-80838C2B2F1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flor</t>
        </r>
      </text>
    </comment>
    <comment ref="I19" authorId="0" shapeId="0" xr:uid="{3692B3A7-0415-41E1-9913-1155D66ABB6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karina </t>
        </r>
      </text>
    </comment>
    <comment ref="M19" authorId="0" shapeId="0" xr:uid="{D2C55B9C-CF1D-4ADA-B145-D9CEA34E78D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O19" authorId="0" shapeId="0" xr:uid="{ADE7DE5C-6105-4A59-A4DD-575351E8D43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karina 
blanca</t>
        </r>
      </text>
    </comment>
    <comment ref="P19" authorId="0" shapeId="0" xr:uid="{C5A40507-B357-4363-88FA-441477B7077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flor </t>
        </r>
      </text>
    </comment>
    <comment ref="Q19" authorId="0" shapeId="0" xr:uid="{07CACF1A-E014-428A-B776-A4DA04B1958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 
osmery </t>
        </r>
      </text>
    </comment>
    <comment ref="W19" authorId="0" shapeId="0" xr:uid="{9779D01B-ACE2-44CB-91DE-1B10D1EEFB0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19" authorId="0" shapeId="0" xr:uid="{2F09E21B-6F09-429F-97E2-ADA8616AAE0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Z19" authorId="0" shapeId="0" xr:uid="{966658AB-EEDC-4C26-B350-3AE3F631F92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karina</t>
        </r>
      </text>
    </comment>
    <comment ref="AA19" authorId="0" shapeId="0" xr:uid="{65FD3A73-1661-445D-890E-0621E242EB4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AD19" authorId="0" shapeId="0" xr:uid="{E66B6090-A1F1-4E86-B079-1E521B74EB72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karina 
osmery
</t>
        </r>
      </text>
    </comment>
    <comment ref="E30" authorId="0" shapeId="0" xr:uid="{E2F7A5B5-B109-4EC4-92D6-2810E115386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cliente no fue evaluadaa por el estilista 
</t>
        </r>
      </text>
    </comment>
    <comment ref="R30" authorId="0" shapeId="0" xr:uid="{564BC190-CFC5-4857-B67C-FBC4730B939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oneida
sofia</t>
        </r>
      </text>
    </comment>
    <comment ref="S30" authorId="0" shapeId="0" xr:uid="{29231C6A-2B3A-413D-B4DC-44241528532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sofia</t>
        </r>
      </text>
    </comment>
    <comment ref="T30" authorId="0" shapeId="0" xr:uid="{1AE40679-0DA7-4EA9-8218-22C159FD670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mileidy</t>
        </r>
      </text>
    </comment>
    <comment ref="U30" authorId="0" shapeId="0" xr:uid="{ADE4BD8D-D73F-4E82-BF7F-A4951A175EC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xavierna</t>
        </r>
      </text>
    </comment>
    <comment ref="W30" authorId="0" shapeId="0" xr:uid="{F92F1A0C-C382-478E-801B-72BEF157ABD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saray</t>
        </r>
      </text>
    </comment>
    <comment ref="Y30" authorId="0" shapeId="0" xr:uid="{81747537-5EAA-4D70-9032-951651B8AB7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4 sin estilistas </t>
        </r>
      </text>
    </comment>
    <comment ref="AC30" authorId="0" shapeId="0" xr:uid="{18EDA276-4788-435A-A208-7290FEFEC56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saray</t>
        </r>
      </text>
    </comment>
    <comment ref="AD30" authorId="0" shapeId="0" xr:uid="{76D6F285-A420-40CF-BF0D-E43DE7823AA4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xavier
oneida
sofia</t>
        </r>
      </text>
    </comment>
    <comment ref="AE30" authorId="0" shapeId="0" xr:uid="{1DF2B344-A5AD-4350-A577-76D20E85BC0B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 sofia 
xavier</t>
        </r>
      </text>
    </comment>
    <comment ref="R41" authorId="0" shapeId="0" xr:uid="{7C7C2AD1-75A2-4F0A-B9C2-0342DD9805A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sin estilista asignado </t>
        </r>
      </text>
    </comment>
    <comment ref="C52" authorId="0" shapeId="0" xr:uid="{DBE5545C-65D2-46FA-AB58-D870A77ED0F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yosmary</t>
        </r>
      </text>
    </comment>
    <comment ref="G52" authorId="0" shapeId="0" xr:uid="{3163F21A-D336-4B98-83E4-72428DEBCD7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andri SE COLOCO EVALUACIÓN PORQUE ES ALERGICA AL FORMOL</t>
        </r>
      </text>
    </comment>
    <comment ref="H52" authorId="0" shapeId="0" xr:uid="{0A6010A9-FA24-46AE-BC4E-190AB7BB405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josmary</t>
        </r>
      </text>
    </comment>
    <comment ref="L52" authorId="0" shapeId="0" xr:uid="{6B898F72-9F8A-46FD-937A-5D347749BEB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</t>
        </r>
      </text>
    </comment>
    <comment ref="Q52" authorId="0" shapeId="0" xr:uid="{097E6980-8531-4954-B518-3B96A390A89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pablo SE MARCO COMO EVALUACIÓN YA QUE ES GESTANTE
vanesa</t>
        </r>
      </text>
    </comment>
    <comment ref="U52" authorId="0" shapeId="0" xr:uid="{CEB3D9F3-16BA-4D3D-B429-1A98A4E5C22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W52" authorId="0" shapeId="0" xr:uid="{9BFCABC2-7FAD-448E-BC6B-3BAB2654727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erika</t>
        </r>
      </text>
    </comment>
    <comment ref="X52" authorId="0" shapeId="0" xr:uid="{3C2942C5-F4F9-4D60-A479-35B7D9B0C03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vanesa</t>
        </r>
      </text>
    </comment>
    <comment ref="Y52" authorId="0" shapeId="0" xr:uid="{21AFDF25-662A-48D3-8C26-F0436F74979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vnessa</t>
        </r>
      </text>
    </comment>
    <comment ref="AC52" authorId="0" shapeId="0" xr:uid="{6D8DC7D5-DAC8-43C7-8452-D98A0E32085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las 4 de patty, solo una estilista ese día y se trabajo desde las 2 porque no hubo luz en la mañana </t>
        </r>
      </text>
    </comment>
    <comment ref="AD52" authorId="0" shapeId="0" xr:uid="{2BB21BC9-F17B-4F07-8CE6-9813E9C589E5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 vanesa
1 paty</t>
        </r>
      </text>
    </comment>
    <comment ref="B59" authorId="0" shapeId="0" xr:uid="{71B2A5DC-09C4-453A-BF64-DA953F2F77F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C59" authorId="0" shapeId="0" xr:uid="{8C1B8833-62CF-469E-8211-862716DE6E2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D59" authorId="0" shapeId="0" xr:uid="{8B7774BF-C4ED-40BE-B201-21A50215D1B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E59" authorId="0" shapeId="0" xr:uid="{14A6073F-345D-41C5-9627-25BCBAF09B5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I59" authorId="0" shapeId="0" xr:uid="{1BD9E531-550C-4254-A9E0-B748042C9CD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R59" authorId="0" shapeId="0" xr:uid="{F553508A-716B-4B9E-8187-A63DB4229DF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S59" authorId="0" shapeId="0" xr:uid="{E259DE1C-7EDC-47A6-9C84-92511B97826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 </t>
        </r>
      </text>
    </comment>
    <comment ref="W59" authorId="0" shapeId="0" xr:uid="{64061730-1773-4578-9D60-97208C16434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X59" authorId="0" shapeId="0" xr:uid="{1E54AFD6-65A8-4420-A628-454DCA2A448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 </t>
        </r>
      </text>
    </comment>
    <comment ref="Y59" authorId="0" shapeId="0" xr:uid="{DDBBA729-A3E0-4327-8308-75D4736179A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C70" authorId="0" shapeId="0" xr:uid="{0C6A034A-F01C-4659-BFA4-8EB07E0BC8A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J70" authorId="0" shapeId="0" xr:uid="{6E8ECB21-DBA9-48F3-B276-F5304292935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 botox obs</t>
        </r>
      </text>
    </comment>
    <comment ref="P70" authorId="0" shapeId="0" xr:uid="{97A5036C-AC51-48A2-AAB9-35B7EE38067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Q70" authorId="0" shapeId="0" xr:uid="{12958A2F-74E4-49B5-BD95-EF6DB628F29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W70" authorId="0" shapeId="0" xr:uid="{09F67381-8B59-4256-B352-BC1B4353976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Z70" authorId="0" shapeId="0" xr:uid="{7E625E13-FE18-41CE-9AA6-1F371F081F9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AB70" authorId="0" shapeId="0" xr:uid="{F0F094E1-B2D7-4FA7-B5E3-53DB8C483CA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C81" authorId="0" shapeId="0" xr:uid="{DB22C342-A772-4C31-893C-71A977FEA5C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obs</t>
        </r>
      </text>
    </comment>
    <comment ref="Q81" authorId="0" shapeId="0" xr:uid="{CFEE61A1-A8A1-46CD-AC9E-46EFB4E0410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botox de obs</t>
        </r>
      </text>
    </comment>
    <comment ref="S116" authorId="0" shapeId="0" xr:uid="{9B26BDEB-B8A0-4988-A64C-DD04C8EE2A6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fueron llevadas a chico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Franco Arrascue</author>
  </authors>
  <commentList>
    <comment ref="D8" authorId="0" shapeId="0" xr:uid="{70F5F7C8-2228-4E61-95F8-F2F7260682B9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loreni</t>
        </r>
      </text>
    </comment>
    <comment ref="E8" authorId="0" shapeId="0" xr:uid="{7050A3DF-C03E-4237-8ABE-AFDC918166A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sin estilista</t>
        </r>
      </text>
    </comment>
    <comment ref="G8" authorId="0" shapeId="0" xr:uid="{812A51B1-B1B8-4922-82AE-52505B2C1B8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loreni</t>
        </r>
      </text>
    </comment>
    <comment ref="H8" authorId="0" shapeId="0" xr:uid="{D4DBDA63-C2A4-4C20-92F9-D4CD1042927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ROSSANA
1 EDUAR
1 LUZ 
1 S/E</t>
        </r>
      </text>
    </comment>
    <comment ref="J8" authorId="0" shapeId="0" xr:uid="{E5B66519-CB84-4DAB-A8D2-7FCBBCD0D9B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S7E</t>
        </r>
      </text>
    </comment>
    <comment ref="K8" authorId="0" shapeId="0" xr:uid="{6AC98396-BEE1-4081-8806-69B57DA5978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LORENI
EDUARD</t>
        </r>
      </text>
    </comment>
    <comment ref="L8" authorId="0" shapeId="0" xr:uid="{E92C8761-6F60-4944-914E-8CE2D9452C55}">
      <text>
        <r>
          <rPr>
            <b/>
            <sz val="9"/>
            <color indexed="81"/>
            <rFont val="Tahoma"/>
            <charset val="1"/>
          </rPr>
          <t>LA CLIENTE ESTA EN LISTA PERO NO FIGURA SU PAGO</t>
        </r>
      </text>
    </comment>
    <comment ref="M8" authorId="0" shapeId="0" xr:uid="{53E3DF88-7F2C-48D3-B7E4-85A05706C4C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S/E</t>
        </r>
      </text>
    </comment>
    <comment ref="N8" authorId="0" shapeId="0" xr:uid="{87F75327-5CE8-47B2-ABBF-AD5490A1B0EA}">
      <text>
        <r>
          <rPr>
            <b/>
            <sz val="9"/>
            <color indexed="81"/>
            <rFont val="Tahoma"/>
            <charset val="1"/>
          </rPr>
          <t xml:space="preserve">luz cliente con pediculosis </t>
        </r>
      </text>
    </comment>
    <comment ref="O8" authorId="0" shapeId="0" xr:uid="{F1F687AB-85D7-44FC-AE1A-48C0C523239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s/n cliente queria que la atrendieran rapido </t>
        </r>
      </text>
    </comment>
    <comment ref="P8" authorId="0" shapeId="0" xr:uid="{E261318B-FE35-4FDA-A3D8-20C8C2DF504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s/e no quiso hacerse prueba </t>
        </r>
      </text>
    </comment>
    <comment ref="R8" authorId="0" shapeId="0" xr:uid="{403579FD-1014-440A-8E3A-221B8A30B72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luz</t>
        </r>
      </text>
    </comment>
    <comment ref="S8" authorId="0" shapeId="0" xr:uid="{D1D86661-D44D-464F-9C45-578F7ECF4CE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sandy
cherly reagendo para 20/7 se espera que asista de lo contrario se mete en la otra semana 
romell</t>
        </r>
      </text>
    </comment>
    <comment ref="T8" authorId="0" shapeId="0" xr:uid="{991B7430-5592-4E05-82AE-07555D704B9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loreny</t>
        </r>
      </text>
    </comment>
    <comment ref="X8" authorId="0" shapeId="0" xr:uid="{613A9A3C-EB5E-441C-8DCE-8AEA0FEFA748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lorenys luz</t>
        </r>
      </text>
    </comment>
    <comment ref="Z8" authorId="0" shapeId="0" xr:uid="{861A75A1-F434-4AA9-A3BF-58CDF1AC4F0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3
luz</t>
        </r>
      </text>
    </comment>
    <comment ref="D19" authorId="0" shapeId="0" xr:uid="{0ED21F05-1491-44C8-A2A6-6B327E780BAC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erika
joselin</t>
        </r>
      </text>
    </comment>
    <comment ref="I19" authorId="0" shapeId="0" xr:uid="{91EAC98C-0F5A-4727-8058-44ACFFB002B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ANDREA</t>
        </r>
      </text>
    </comment>
    <comment ref="J19" authorId="0" shapeId="0" xr:uid="{7DA16ABB-A7D3-4C07-B89A-58C43A3FB3B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ALBERLI
CAROL</t>
        </r>
      </text>
    </comment>
    <comment ref="N19" authorId="0" shapeId="0" xr:uid="{9B86C3B7-3DDC-43AA-9D0A-023CB1021B5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karina y alberli</t>
        </r>
      </text>
    </comment>
    <comment ref="P19" authorId="0" shapeId="0" xr:uid="{F0841FF6-92B4-49C1-83A2-74261F8F0D2E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andrea 
blanca
osmery
joselin
</t>
        </r>
      </text>
    </comment>
    <comment ref="R19" authorId="0" shapeId="0" xr:uid="{6A3F7F25-4CC5-4683-8269-F5B4C50E4D8F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joselin alberli joselin
</t>
        </r>
      </text>
    </comment>
    <comment ref="T19" authorId="0" shapeId="0" xr:uid="{868469FC-8414-4D6F-8BFC-1E76BDFCA3B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flor</t>
        </r>
      </text>
    </comment>
    <comment ref="X19" authorId="0" shapeId="0" xr:uid="{0C9F3741-5B22-4417-9E1D-3B69623935B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yoselin
sofia</t>
        </r>
      </text>
    </comment>
    <comment ref="D30" authorId="0" shapeId="0" xr:uid="{D9AAA252-0641-4BD5-9A70-725199C26F84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sofia</t>
        </r>
      </text>
    </comment>
    <comment ref="E30" authorId="0" shapeId="0" xr:uid="{A3922E6F-64E9-4A77-ACA6-ED4E9FC32F8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oneida
sofia
</t>
        </r>
      </text>
    </comment>
    <comment ref="H30" authorId="0" shapeId="0" xr:uid="{6EF38F02-3509-4D76-B160-C5356D8458F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SOFIA</t>
        </r>
      </text>
    </comment>
    <comment ref="J30" authorId="0" shapeId="0" xr:uid="{BD60843D-067B-4E66-AE71-E5D6D611F8D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1 S/E
1 XAVIER</t>
        </r>
      </text>
    </comment>
    <comment ref="K30" authorId="0" shapeId="0" xr:uid="{2EA39CC1-913B-4381-A03E-35C6A75B8A5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</t>
        </r>
      </text>
    </comment>
    <comment ref="S30" authorId="0" shapeId="0" xr:uid="{9B7317CC-A630-4013-A0CD-78D4D453DA2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SOFIA</t>
        </r>
      </text>
    </comment>
    <comment ref="V30" authorId="0" shapeId="0" xr:uid="{0007D88F-C9BE-4100-9A7F-52C0947A54B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carlos cliente con alopecia no se desconto </t>
        </r>
      </text>
    </comment>
    <comment ref="X30" authorId="0" shapeId="0" xr:uid="{6EBF8223-CCDF-4AED-A622-47EB3564913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adriana
carlos
mileidy no tolero el olor de los productos 
</t>
        </r>
      </text>
    </comment>
    <comment ref="Y30" authorId="0" shapeId="0" xr:uid="{6F0E92B6-E924-4499-9CBA-C15DECF4BADB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saray cliente recibio una llamada de emergencia y le toco irse
kelly cliente de edad mayor tenia asma no se descuenta ninguna </t>
        </r>
      </text>
    </comment>
    <comment ref="Z30" authorId="0" shapeId="0" xr:uid="{7B934E7C-6A92-4DEC-B4C4-7EA575FFAAC4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clientes de color abordadas por atencion al cliente . Sólo querian pagar 120 por color y cubrimiento de canas </t>
        </r>
      </text>
    </comment>
    <comment ref="AA30" authorId="0" shapeId="0" xr:uid="{CDE7C212-77C3-46AA-A138-D8DBFFAA2255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xavier</t>
        </r>
      </text>
    </comment>
    <comment ref="L41" authorId="0" shapeId="0" xr:uid="{00A24077-306B-404B-A658-67F6211DE82A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LUIS</t>
        </r>
      </text>
    </comment>
    <comment ref="Y41" authorId="0" shapeId="0" xr:uid="{83D88580-F1E2-4B86-B2A2-060BB3C40B4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marco luis</t>
        </r>
      </text>
    </comment>
    <comment ref="J50" authorId="0" shapeId="0" xr:uid="{B84551DF-379D-4DC1-9CC5-EE76DFB08F52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CLIENTE CON LECCION EN EL TOBILLO</t>
        </r>
      </text>
    </comment>
    <comment ref="D52" authorId="0" shapeId="0" xr:uid="{F2D3B4AF-DD7D-4139-A4D6-8D669462F1CA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pablo</t>
        </r>
      </text>
    </comment>
    <comment ref="E52" authorId="0" shapeId="0" xr:uid="{08DD7556-D696-43BF-ABA7-347EE99721DC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paty
pablo</t>
        </r>
      </text>
    </comment>
    <comment ref="F52" authorId="0" shapeId="0" xr:uid="{440B3B27-113C-4C14-BA71-522A76253CB1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andri
erika</t>
        </r>
      </text>
    </comment>
    <comment ref="H52" authorId="0" shapeId="0" xr:uid="{1E53C0A9-99DB-4CD3-A84A-BE2932232933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paty</t>
        </r>
      </text>
    </comment>
    <comment ref="L52" authorId="0" shapeId="0" xr:uid="{EA776D52-EDE4-4DB3-8A27-ED2834781B87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VANESA</t>
        </r>
      </text>
    </comment>
    <comment ref="S52" authorId="0" shapeId="0" xr:uid="{44BFA802-3D07-4E7A-A820-8E7E881E813D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PATY
ADRI
ERIKA
</t>
        </r>
      </text>
    </comment>
    <comment ref="C59" authorId="0" shapeId="0" xr:uid="{7040C03B-EA77-41D6-9AE1-B5AE02E47EF5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2 botox de obs</t>
        </r>
      </text>
    </comment>
    <comment ref="B92" authorId="0" shapeId="0" xr:uid="{6BD1765B-0584-42C5-91D9-CD4330754EE4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10 botox de obs</t>
        </r>
      </text>
    </comment>
    <comment ref="C92" authorId="0" shapeId="0" xr:uid="{C8E17BEF-907A-47C9-9B13-3848A1CAB4D7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11 botoñx obs</t>
        </r>
      </text>
    </comment>
    <comment ref="D92" authorId="0" shapeId="0" xr:uid="{6572FA74-F719-4DB7-AB85-85A3AD8B2808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 botox obs</t>
        </r>
      </text>
    </comment>
    <comment ref="G92" authorId="0" shapeId="0" xr:uid="{BD9C5DFD-D3D3-47BB-BBC8-8181E6011F06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2 botox obs</t>
        </r>
      </text>
    </comment>
    <comment ref="B103" authorId="0" shapeId="0" xr:uid="{AFA707DF-8693-470B-8633-73FDC4612B33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2 botox obs</t>
        </r>
      </text>
    </comment>
    <comment ref="C103" authorId="0" shapeId="0" xr:uid="{0F1433C4-0833-48BA-863A-6FF5CBB3F90C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3 botox obs</t>
        </r>
      </text>
    </comment>
    <comment ref="D103" authorId="0" shapeId="0" xr:uid="{E75494A6-CE3F-408C-B7D3-4582401542C9}">
      <text>
        <r>
          <rPr>
            <b/>
            <sz val="9"/>
            <color indexed="81"/>
            <rFont val="Tahoma"/>
            <family val="2"/>
          </rPr>
          <t>Franco Arrascue:</t>
        </r>
        <r>
          <rPr>
            <sz val="9"/>
            <color indexed="81"/>
            <rFont val="Tahoma"/>
            <family val="2"/>
          </rPr>
          <t xml:space="preserve">
1 botox obs </t>
        </r>
      </text>
    </comment>
    <comment ref="G103" authorId="0" shapeId="0" xr:uid="{0378AF15-9AC8-4FA0-A406-3DE04D2718C9}">
      <text>
        <r>
          <rPr>
            <b/>
            <sz val="9"/>
            <color indexed="81"/>
            <rFont val="Tahoma"/>
            <charset val="1"/>
          </rPr>
          <t>Franco Arrascue:</t>
        </r>
        <r>
          <rPr>
            <sz val="9"/>
            <color indexed="81"/>
            <rFont val="Tahoma"/>
            <charset val="1"/>
          </rPr>
          <t xml:space="preserve">
4 botox obs</t>
        </r>
      </text>
    </comment>
  </commentList>
</comments>
</file>

<file path=xl/sharedStrings.xml><?xml version="1.0" encoding="utf-8"?>
<sst xmlns="http://schemas.openxmlformats.org/spreadsheetml/2006/main" count="3949" uniqueCount="816">
  <si>
    <t>SEDE "LINCE"  2025</t>
  </si>
  <si>
    <t xml:space="preserve">RESUMEN PARA META DE CLIENTAS RETIRADAS </t>
  </si>
  <si>
    <t>TOTAL</t>
  </si>
  <si>
    <t xml:space="preserve">RECUPERADA </t>
  </si>
  <si>
    <t>TOTAL LINCE</t>
  </si>
  <si>
    <t xml:space="preserve">CLEINTAS AGENDADAS </t>
  </si>
  <si>
    <t>SEDES</t>
  </si>
  <si>
    <t>LINCE</t>
  </si>
  <si>
    <t>OLIVOS</t>
  </si>
  <si>
    <t>TRUJILLO</t>
  </si>
  <si>
    <t xml:space="preserve">CHIMBOTE </t>
  </si>
  <si>
    <t>AREQUIPA</t>
  </si>
  <si>
    <t>PUCALPA</t>
  </si>
  <si>
    <t>MED. POBLADO</t>
  </si>
  <si>
    <t>CHILE PROVIDENCIA</t>
  </si>
  <si>
    <t>CHILE LEONES</t>
  </si>
  <si>
    <t>ITEMS</t>
  </si>
  <si>
    <t>SEDE</t>
  </si>
  <si>
    <t>CLIENTAS ASISTIDAS</t>
  </si>
  <si>
    <t>CLIENTAS RETIRADAS</t>
  </si>
  <si>
    <t>%</t>
  </si>
  <si>
    <t xml:space="preserve">CLIENTAS ASISTIDAS </t>
  </si>
  <si>
    <t xml:space="preserve">CLIENTAS ATENDIDAS </t>
  </si>
  <si>
    <t>CLIENTAS POR EVALUACION</t>
  </si>
  <si>
    <t>CLIENTAS POR ABONO</t>
  </si>
  <si>
    <t>CHIMBOTE</t>
  </si>
  <si>
    <t xml:space="preserve">CLIENTAS RETIRADAS </t>
  </si>
  <si>
    <t xml:space="preserve"> </t>
  </si>
  <si>
    <t>GARANTIAS</t>
  </si>
  <si>
    <t>DEVOLUCION</t>
  </si>
  <si>
    <t>MEDELLIN</t>
  </si>
  <si>
    <t xml:space="preserve">DESCUENTOS </t>
  </si>
  <si>
    <t>SEDE "OLIVOS"  2025</t>
  </si>
  <si>
    <t>TOTAL OLIVOS</t>
  </si>
  <si>
    <t>EVALUACION + RETIRADAS</t>
  </si>
  <si>
    <t>RANGO POR RETIRADAS</t>
  </si>
  <si>
    <t>PORCENTAJE</t>
  </si>
  <si>
    <t>MENOS 1</t>
  </si>
  <si>
    <t xml:space="preserve">TOTAL </t>
  </si>
  <si>
    <t>RATIOS DE ATENCION SEDES TOP NOVIEMBRE 2024</t>
  </si>
  <si>
    <t>ASISTIDAS / AGENDADAS</t>
  </si>
  <si>
    <t>ATENDIDAS / ASISTIDAS</t>
  </si>
  <si>
    <t>SEDE "TRUJILLO"  2025</t>
  </si>
  <si>
    <t>TOTAL TRUJILLO</t>
  </si>
  <si>
    <t>PERSONAL</t>
  </si>
  <si>
    <t>BONO SEGÚN EL RANGO</t>
  </si>
  <si>
    <t>JEFA  DE S.</t>
  </si>
  <si>
    <t>ASIS. ADMON</t>
  </si>
  <si>
    <t>SEDE "CHIMBOTE"  2025</t>
  </si>
  <si>
    <t>RECUPERADA</t>
  </si>
  <si>
    <t>TOTAL CHIMBOTE</t>
  </si>
  <si>
    <t>SEDE "AREQUIPA"  2025</t>
  </si>
  <si>
    <t>TOTAL AREQUIPA</t>
  </si>
  <si>
    <t xml:space="preserve">  </t>
  </si>
  <si>
    <t>SEDE "PUCALPA"  2025</t>
  </si>
  <si>
    <t>TOTAL PUCALPA</t>
  </si>
  <si>
    <t xml:space="preserve">CLIENTAS AGENDADAS </t>
  </si>
  <si>
    <t>TOTAL MED. POBLADO</t>
  </si>
  <si>
    <t>SEDE "CHILE PROVIDENCIA"  2025</t>
  </si>
  <si>
    <t>TOTAL CHILE PROVIDENCIA</t>
  </si>
  <si>
    <t>SEDE "CHILE LOS LEONES"  2025</t>
  </si>
  <si>
    <t>TOTAL CHILE LOS LEONES</t>
  </si>
  <si>
    <t>CUADRO COMPARATIVO SEDES TOP AGOSTO 2025</t>
  </si>
  <si>
    <t xml:space="preserve"> BOGOTA CHICÓ</t>
  </si>
  <si>
    <t>BOGOTA CHAPINERO</t>
  </si>
  <si>
    <t>BOGOTA CHICÓ</t>
  </si>
  <si>
    <t>SEDE "COLOMBIA MEDELLIN POBLADO"  2025</t>
  </si>
  <si>
    <t>SEDE "COLOMBIA BOGOTA CHICÓ"  2025</t>
  </si>
  <si>
    <t>TOTAL BOGOTA CHICÓ</t>
  </si>
  <si>
    <t>SEDE "COLOMBIA BOGOTA CHAPINERO"  2025</t>
  </si>
  <si>
    <t>TOTAL BOGOTA CHAPINERO</t>
  </si>
  <si>
    <t>PUCALLPA</t>
  </si>
  <si>
    <t>PRECIOS</t>
  </si>
  <si>
    <t>ZAIDY</t>
  </si>
  <si>
    <t>M</t>
  </si>
  <si>
    <t>ANICA</t>
  </si>
  <si>
    <t>KELLY</t>
  </si>
  <si>
    <t>L</t>
  </si>
  <si>
    <t>DIANA</t>
  </si>
  <si>
    <t>GIANNINA</t>
  </si>
  <si>
    <t>XXL</t>
  </si>
  <si>
    <t>BRAZO</t>
  </si>
  <si>
    <t>LIZBETH</t>
  </si>
  <si>
    <t>XL</t>
  </si>
  <si>
    <t>ANGELA</t>
  </si>
  <si>
    <t>VANESSA</t>
  </si>
  <si>
    <t>ELSY</t>
  </si>
  <si>
    <t>PABLO</t>
  </si>
  <si>
    <t>HEIDY</t>
  </si>
  <si>
    <t>MARCELA</t>
  </si>
  <si>
    <t>YULIANA</t>
  </si>
  <si>
    <t>YUBA</t>
  </si>
  <si>
    <t>S</t>
  </si>
  <si>
    <t>MIRELLA</t>
  </si>
  <si>
    <t>MANTENIMIENTO</t>
  </si>
  <si>
    <t>NEIDA</t>
  </si>
  <si>
    <t>RAIZA</t>
  </si>
  <si>
    <t>MARIELENA</t>
  </si>
  <si>
    <t>LUISANA</t>
  </si>
  <si>
    <t>MARGARITA</t>
  </si>
  <si>
    <t>MILI</t>
  </si>
  <si>
    <t>YAI</t>
  </si>
  <si>
    <t>MARCO</t>
  </si>
  <si>
    <t>CARLO</t>
  </si>
  <si>
    <t>ONEIDA</t>
  </si>
  <si>
    <t>KARINA</t>
  </si>
  <si>
    <t>ALBA</t>
  </si>
  <si>
    <t>FLOR</t>
  </si>
  <si>
    <t>CAROL</t>
  </si>
  <si>
    <t>ANA</t>
  </si>
  <si>
    <t>SOFIA</t>
  </si>
  <si>
    <t>ERICA</t>
  </si>
  <si>
    <t>SANDY</t>
  </si>
  <si>
    <t>ROXANA</t>
  </si>
  <si>
    <t>NAHELYS</t>
  </si>
  <si>
    <t>RICARDO</t>
  </si>
  <si>
    <t>SEDE "LINCE" JULIO 2023</t>
  </si>
  <si>
    <t>CUADRO COMPARATIVO SEDES TOP MARZO 2023</t>
  </si>
  <si>
    <t>CLIENTAS POR RECTIFICACION</t>
  </si>
  <si>
    <t xml:space="preserve">TICKE PROMEDIO </t>
  </si>
  <si>
    <t>SEDE "OLIVOS" JULIO 2023</t>
  </si>
  <si>
    <t>SEDE "TRUJILLO" JULIO 2023</t>
  </si>
  <si>
    <t>SEDE "CHIMBOTE" JULIO 2023</t>
  </si>
  <si>
    <t>SEDE "AREQUIPA" JULIO 2023</t>
  </si>
  <si>
    <t>SEDE "MEDELLIN" JULIO 2023</t>
  </si>
  <si>
    <t>BOG. CHICÓ</t>
  </si>
  <si>
    <t>BOG. CHAPINERO</t>
  </si>
  <si>
    <t>CUADRO COMPARATIVO SEDES TOP ENERO 2026</t>
  </si>
  <si>
    <t>RATIOS DE ATENCION SEDES TOP ENERO 2026</t>
  </si>
  <si>
    <t>SEDE "LINCE"  2026</t>
  </si>
  <si>
    <t>SEDE "OLIVOS"  2026</t>
  </si>
  <si>
    <t>SEDE "TRUJILLO"  2026</t>
  </si>
  <si>
    <t>SEDE "CHIMBOTE"  2026</t>
  </si>
  <si>
    <t>SEDE "AREQUIPA"  2026</t>
  </si>
  <si>
    <t>SEDE "MDELLIN POBLADO"  2026</t>
  </si>
  <si>
    <t>SEDE "BOGOTA CHICÓ"  2026</t>
  </si>
  <si>
    <t>SEDE "BOGOTA CHAPINERO"  2026</t>
  </si>
  <si>
    <t>SEDE "CHILE PROVIDENCIA"  2026</t>
  </si>
  <si>
    <t>SEDE "CHILE LOS LEONES"  2026</t>
  </si>
  <si>
    <t>CUADRO COMPARATIVO SEDES TOP FEBRERO 2026</t>
  </si>
  <si>
    <t>RATIOS DE ATENCION SEDES TOP FEBRERO 2026</t>
  </si>
  <si>
    <t>N°</t>
  </si>
  <si>
    <t>HORA</t>
  </si>
  <si>
    <t>REDES</t>
  </si>
  <si>
    <t>NOMBRE Y APELLIDO</t>
  </si>
  <si>
    <t>WHATSAPP</t>
  </si>
  <si>
    <t>PROMOCIÓN</t>
  </si>
  <si>
    <t>ESTILISTA</t>
  </si>
  <si>
    <t>SERVICIO</t>
  </si>
  <si>
    <t>PRECIO</t>
  </si>
  <si>
    <t>NIVEL DE ATENCIÓN</t>
  </si>
  <si>
    <t>OBSERVACIÓN</t>
  </si>
  <si>
    <t>CONFIRMACIÓN</t>
  </si>
  <si>
    <t>IA SOFIA</t>
  </si>
  <si>
    <t>DORIS CASTILLO MEJIAS</t>
  </si>
  <si>
    <t>DUAL</t>
  </si>
  <si>
    <t>1ER CONTACTO</t>
  </si>
  <si>
    <t>GARANTIA - BOTOX DE OBSEQUIO</t>
  </si>
  <si>
    <t>5 DE 5</t>
  </si>
  <si>
    <t>TRIAL</t>
  </si>
  <si>
    <t xml:space="preserve">FLOR RODRIGUEZ </t>
  </si>
  <si>
    <t>BIO</t>
  </si>
  <si>
    <t>SE QUEJO DEL RESULTADO</t>
  </si>
  <si>
    <t>DORA</t>
  </si>
  <si>
    <t>ANDREIN PRIMERA BRAVO</t>
  </si>
  <si>
    <t>DOBLE BIO</t>
  </si>
  <si>
    <t>EFECTIVA</t>
  </si>
  <si>
    <t>NO ASISTIO</t>
  </si>
  <si>
    <t>KIARA JIMENEZ</t>
  </si>
  <si>
    <t>KARINA FUENTES VERA</t>
  </si>
  <si>
    <t>GIULIANA CHUYES</t>
  </si>
  <si>
    <t>BIO R</t>
  </si>
  <si>
    <t>SEMI</t>
  </si>
  <si>
    <t>VALERY DAYANA PASCUAL</t>
  </si>
  <si>
    <t>CELESTE</t>
  </si>
  <si>
    <t>BRENDA BANCES</t>
  </si>
  <si>
    <t>OSMERY</t>
  </si>
  <si>
    <t>4 DE 5</t>
  </si>
  <si>
    <t>ANTUANETH MARTINEZ LIMO</t>
  </si>
  <si>
    <t>THALIA</t>
  </si>
  <si>
    <t>LUCIANA HERRERA ZUÑIIGA</t>
  </si>
  <si>
    <t>MARIA NELDA ZUÑIGA</t>
  </si>
  <si>
    <t>2 DE 5</t>
  </si>
  <si>
    <t>SOLICITA BOLETA ELECTRONICA</t>
  </si>
  <si>
    <t>GABRIELA</t>
  </si>
  <si>
    <t>MARIA PAZ</t>
  </si>
  <si>
    <t>NUEVA CITA CLIENTE TOP</t>
  </si>
  <si>
    <t>ALISSON GARCIA</t>
  </si>
  <si>
    <t xml:space="preserve">NUEVA CITA  </t>
  </si>
  <si>
    <t>PENDIENTE</t>
  </si>
  <si>
    <t xml:space="preserve">BABYLING + CORTE </t>
  </si>
  <si>
    <t>POLO (talla)</t>
  </si>
  <si>
    <t>PANTALON (talla)</t>
  </si>
  <si>
    <t>PRECIO APLICADO (talla mayor)</t>
  </si>
  <si>
    <t>CANTIDAD</t>
  </si>
  <si>
    <t>TALLAS</t>
  </si>
  <si>
    <t>XXXL</t>
  </si>
  <si>
    <t>ALBERLYS</t>
  </si>
  <si>
    <t>JOSELYN</t>
  </si>
  <si>
    <t>ERIKA</t>
  </si>
  <si>
    <t>NOMBRE</t>
  </si>
  <si>
    <t>JASMIN</t>
  </si>
  <si>
    <t>JAI</t>
  </si>
  <si>
    <t>ANDRI</t>
  </si>
  <si>
    <t>PAOLA</t>
  </si>
  <si>
    <t>MILEIDY</t>
  </si>
  <si>
    <t>XAVIER</t>
  </si>
  <si>
    <t>CARLOS</t>
  </si>
  <si>
    <t>SARAY</t>
  </si>
  <si>
    <t>TATIANA</t>
  </si>
  <si>
    <t>LORENY</t>
  </si>
  <si>
    <t>CATHERINE</t>
  </si>
  <si>
    <t>ROSEMARY</t>
  </si>
  <si>
    <t>MECHAS</t>
  </si>
  <si>
    <t>ELISA</t>
  </si>
  <si>
    <t>N° DE EMPLEADOS</t>
  </si>
  <si>
    <t>CANTIDAD DE UNIFORMES</t>
  </si>
  <si>
    <t>GARANTÍA  - BOTOX DE OBSEQUIO</t>
  </si>
  <si>
    <t xml:space="preserve">BEATRIZ GONZALEZ DAYER </t>
  </si>
  <si>
    <t xml:space="preserve">ASISTIRA POR BIOPLASTIA </t>
  </si>
  <si>
    <t xml:space="preserve">FABIANA NUNJA </t>
  </si>
  <si>
    <t>ERIANIS GARRIDO</t>
  </si>
  <si>
    <t>KIMBERLY GUZMAN</t>
  </si>
  <si>
    <t>TRIAL - BIO</t>
  </si>
  <si>
    <t>MENOR DE EDAD</t>
  </si>
  <si>
    <t>BORDADO</t>
  </si>
  <si>
    <t>TOTAL UNIFORMES</t>
  </si>
  <si>
    <t>CONFORME</t>
  </si>
  <si>
    <t>DENISSE CARVAJAL</t>
  </si>
  <si>
    <t>PROMO DE 129</t>
  </si>
  <si>
    <t>JOSELIN CARRASCO</t>
  </si>
  <si>
    <t>PROMO 129</t>
  </si>
  <si>
    <t>LE ESCRIBIO PERO NO RESPONDE</t>
  </si>
  <si>
    <t>BOTOX PAGADO - GARANTIA- NO RESPONDE</t>
  </si>
  <si>
    <t xml:space="preserve">NO RESPONDE </t>
  </si>
  <si>
    <t xml:space="preserve">GARANTÍA- NO RESPONDE </t>
  </si>
  <si>
    <t>CHERLY</t>
  </si>
  <si>
    <t>YOHANA</t>
  </si>
  <si>
    <t>ALBERLY</t>
  </si>
  <si>
    <t>BIO ORG</t>
  </si>
  <si>
    <t xml:space="preserve">BIO </t>
  </si>
  <si>
    <t>JHOSELINE CASTRO</t>
  </si>
  <si>
    <t>BIO+CRIO</t>
  </si>
  <si>
    <t>BRENDA OLMOS</t>
  </si>
  <si>
    <t>BIO REC</t>
  </si>
  <si>
    <t>ALISSON ALARCON</t>
  </si>
  <si>
    <t>CLAUDIA ALVAREZ</t>
  </si>
  <si>
    <t>COLOR</t>
  </si>
  <si>
    <t>YUBITZA</t>
  </si>
  <si>
    <t>GARANTÍA</t>
  </si>
  <si>
    <t>LUZ</t>
  </si>
  <si>
    <t xml:space="preserve">VALERIA MATOS RABANAL </t>
  </si>
  <si>
    <t>BALAYAG</t>
  </si>
  <si>
    <t>PROMO DESDE 250</t>
  </si>
  <si>
    <t>IA LUISA</t>
  </si>
  <si>
    <t>ANDREA PAREDES</t>
  </si>
  <si>
    <t>BIO + CORTE</t>
  </si>
  <si>
    <t xml:space="preserve">NO ASISTIO </t>
  </si>
  <si>
    <t xml:space="preserve">CLAUDIA MORALES </t>
  </si>
  <si>
    <t xml:space="preserve">LEONES </t>
  </si>
  <si>
    <t>PROMO DE 69.990</t>
  </si>
  <si>
    <t>JACKELINE VILCA</t>
  </si>
  <si>
    <t>MARIA ANGELICA</t>
  </si>
  <si>
    <t xml:space="preserve">GARANTÍA </t>
  </si>
  <si>
    <t>AGUSTINA PAGE</t>
  </si>
  <si>
    <t>COLORIMETRIA</t>
  </si>
  <si>
    <t xml:space="preserve">CANTIDAD </t>
  </si>
  <si>
    <t>ALICIA PEREZ</t>
  </si>
  <si>
    <t>NORCA</t>
  </si>
  <si>
    <t xml:space="preserve">FECHA DE LA CITA </t>
  </si>
  <si>
    <t>CUADRO COMPARATIVO SEDES TOP ABRIL 2026</t>
  </si>
  <si>
    <t>RATIOS DE ATENCION SEDES TOP ABRIL 2026</t>
  </si>
  <si>
    <t>CUADRO COMPARATIVO SEDES TOP MARZO 2026</t>
  </si>
  <si>
    <t>RATIOS DE ATENCION SEDES TOP MARZO 2026</t>
  </si>
  <si>
    <t>HOLINDA ALARCON</t>
  </si>
  <si>
    <t>CARMEN LUCERO OCHOCA</t>
  </si>
  <si>
    <t>TRACEY SANCHEZ</t>
  </si>
  <si>
    <t>BIO TOP</t>
  </si>
  <si>
    <t>MES</t>
  </si>
  <si>
    <t>FEBRERO</t>
  </si>
  <si>
    <t>MARZO</t>
  </si>
  <si>
    <t>ABRIL</t>
  </si>
  <si>
    <t>JESICA FLORES</t>
  </si>
  <si>
    <t>ORG + BIO</t>
  </si>
  <si>
    <t>PATRICIA BRACAMONTE</t>
  </si>
  <si>
    <t>JOSELIN</t>
  </si>
  <si>
    <t>YAJAIRA</t>
  </si>
  <si>
    <t>BALAYAG + CORTE</t>
  </si>
  <si>
    <t>SARA JAIME</t>
  </si>
  <si>
    <t>LESLIE NUÑEZ</t>
  </si>
  <si>
    <t>NO RESPONDE</t>
  </si>
  <si>
    <t>OSORIO DÍAS THALIA</t>
  </si>
  <si>
    <t>BELEN HERRERA</t>
  </si>
  <si>
    <t>NICOL MAGIÑA</t>
  </si>
  <si>
    <t>BOTOX</t>
  </si>
  <si>
    <t>YOSELIN</t>
  </si>
  <si>
    <t xml:space="preserve">TOP PREMIUN </t>
  </si>
  <si>
    <t xml:space="preserve">cancelo por tema personal </t>
  </si>
  <si>
    <t>CANCELO</t>
  </si>
  <si>
    <t>Giovanna Neyra</t>
  </si>
  <si>
    <t>POBLADO</t>
  </si>
  <si>
    <t>Maireli Contreras</t>
  </si>
  <si>
    <t>LACEADO</t>
  </si>
  <si>
    <t>SEDE "UNILAGO - BOGOTÁ"  2026</t>
  </si>
  <si>
    <t>UNILALGO - BOGOTÁ</t>
  </si>
  <si>
    <t>BOG. UNILAGO</t>
  </si>
  <si>
    <t>IA MARIANA</t>
  </si>
  <si>
    <t>NATALIA LONDOÑO</t>
  </si>
  <si>
    <t xml:space="preserve">MAYO </t>
  </si>
  <si>
    <t xml:space="preserve">DANIELA RAYO </t>
  </si>
  <si>
    <t xml:space="preserve">UNILAGO </t>
  </si>
  <si>
    <t>Claudia Marcela Camino Acosta</t>
  </si>
  <si>
    <t>Carolina Pachon</t>
  </si>
  <si>
    <t>Liris Beltrán</t>
  </si>
  <si>
    <t>Elizabeth Arias León</t>
  </si>
  <si>
    <t>Johanna Carolina Amaya</t>
  </si>
  <si>
    <t>Luzdary Londoño</t>
  </si>
  <si>
    <t>Yulimar velasquez</t>
  </si>
  <si>
    <t>Gis Amaya Aguilar</t>
  </si>
  <si>
    <t>Sandra Milena villafradez</t>
  </si>
  <si>
    <t>Leidy Murillo</t>
  </si>
  <si>
    <t>Adriana casas</t>
  </si>
  <si>
    <t>Diana Zapata</t>
  </si>
  <si>
    <t>Luisa Ricaurte</t>
  </si>
  <si>
    <t>YAMILE MAHECHA</t>
  </si>
  <si>
    <t>Angela romero</t>
  </si>
  <si>
    <t>Grace Cordovez</t>
  </si>
  <si>
    <t>JOHANNA CASTILLO</t>
  </si>
  <si>
    <t>Laura Narváez</t>
  </si>
  <si>
    <t>Claudia Castro</t>
  </si>
  <si>
    <t>Martha Lucía García</t>
  </si>
  <si>
    <t>Angie Daniela Pineda Paredes</t>
  </si>
  <si>
    <t>Yohana Muñoz</t>
  </si>
  <si>
    <t>Yuli Arango</t>
  </si>
  <si>
    <t>Lili fuentes</t>
  </si>
  <si>
    <t xml:space="preserve">en camino </t>
  </si>
  <si>
    <t xml:space="preserve">tuvo un imprevisto personal </t>
  </si>
  <si>
    <t>lo olvido</t>
  </si>
  <si>
    <t>quiere reagendar</t>
  </si>
  <si>
    <t>CUADRO COMPARATIVO SEDES TOP MAYO 2026</t>
  </si>
  <si>
    <t>RATIOS DE ATENCION SEDES TOP MAYO 2026</t>
  </si>
  <si>
    <t>BIO P</t>
  </si>
  <si>
    <t>NOEMI PONCE</t>
  </si>
  <si>
    <t>LURIE FANEL</t>
  </si>
  <si>
    <t>KATERINE</t>
  </si>
  <si>
    <t>VIVIANA</t>
  </si>
  <si>
    <t>Ticket Promedio</t>
  </si>
  <si>
    <t xml:space="preserve">ESMERALDA CORDOVA </t>
  </si>
  <si>
    <t>JUNIO</t>
  </si>
  <si>
    <t xml:space="preserve">OLIVOS </t>
  </si>
  <si>
    <t>SOFIA CORDOVA</t>
  </si>
  <si>
    <t>BETSY GUATNIZ</t>
  </si>
  <si>
    <t xml:space="preserve">ANGHELIN MONTES </t>
  </si>
  <si>
    <t xml:space="preserve">YENNY MARITA </t>
  </si>
  <si>
    <t>TINTE EN RAIZ</t>
  </si>
  <si>
    <t>ROCIO</t>
  </si>
  <si>
    <t>SCARLET</t>
  </si>
  <si>
    <t>YOMIRA MORENO</t>
  </si>
  <si>
    <t xml:space="preserve">SERVICIO YA ESTABA CANCELADO </t>
  </si>
  <si>
    <t xml:space="preserve">JASMIN PEREZ </t>
  </si>
  <si>
    <t>PERMANENTE</t>
  </si>
  <si>
    <t>ADRIANA CLAROS</t>
  </si>
  <si>
    <t>HIDRATACIÓN</t>
  </si>
  <si>
    <t>FATIMA PAREDES</t>
  </si>
  <si>
    <t>STEPHANIE</t>
  </si>
  <si>
    <t>TRIAL O BIO</t>
  </si>
  <si>
    <t>ALEJANDRA</t>
  </si>
  <si>
    <t>a solo 99</t>
  </si>
  <si>
    <t xml:space="preserve">IA SOFÍA </t>
  </si>
  <si>
    <t>CAROL DÍAZ</t>
  </si>
  <si>
    <t xml:space="preserve">botox de chocolate </t>
  </si>
  <si>
    <t>a 150 soles con joselin</t>
  </si>
  <si>
    <t>JEISY</t>
  </si>
  <si>
    <t>BAÑO COLOR</t>
  </si>
  <si>
    <t>Grand Total</t>
  </si>
  <si>
    <t>FRECUENCIA DE VISITA</t>
  </si>
  <si>
    <t xml:space="preserve">NATALI  </t>
  </si>
  <si>
    <t>ZOE LOPEZ</t>
  </si>
  <si>
    <t>BOTOX CHO</t>
  </si>
  <si>
    <t>SUSAN SALYROSAS</t>
  </si>
  <si>
    <t xml:space="preserve">VANESA VENTURA </t>
  </si>
  <si>
    <t xml:space="preserve">CON ANA </t>
  </si>
  <si>
    <t>JUANA TAVARA</t>
  </si>
  <si>
    <t>A 100</t>
  </si>
  <si>
    <t>diagnostico</t>
  </si>
  <si>
    <t>perdio integridad al decolorar</t>
  </si>
  <si>
    <t>hay que rellenar e hidratar</t>
  </si>
  <si>
    <t>devolver proteina</t>
  </si>
  <si>
    <t>linea de proteina de salerm</t>
  </si>
  <si>
    <t>ampolla de box 21 salemr</t>
  </si>
  <si>
    <t xml:space="preserve">dejando dia de por medio </t>
  </si>
  <si>
    <t xml:space="preserve">1 VEZ POR SEMANA </t>
  </si>
  <si>
    <t>MSCARILLA GERMEN DE TRIGO CON SHAMPO Y BALSAMO W HARLAB WER NUTRICIO</t>
  </si>
  <si>
    <t>LINEA COMPLETA DE PROTEINA</t>
  </si>
  <si>
    <t xml:space="preserve">SHAMPO </t>
  </si>
  <si>
    <t xml:space="preserve">TOQUE DE SEDA PROTEICO </t>
  </si>
  <si>
    <t xml:space="preserve">AREQUIPA - MAYO </t>
  </si>
  <si>
    <t xml:space="preserve">CHIMBOTE - MAYO </t>
  </si>
  <si>
    <t>4  a más</t>
  </si>
  <si>
    <t xml:space="preserve">TRUJILLO - MAYO </t>
  </si>
  <si>
    <t xml:space="preserve">OLIVOS - MAYO </t>
  </si>
  <si>
    <t>Cantidad de Visitas</t>
  </si>
  <si>
    <t>Cantidad de clientas</t>
  </si>
  <si>
    <t>5 a más</t>
  </si>
  <si>
    <t>Porcentaje</t>
  </si>
  <si>
    <t xml:space="preserve">IA SOFIA </t>
  </si>
  <si>
    <t>ETHEL ALVA</t>
  </si>
  <si>
    <t>ELOINA ACARO</t>
  </si>
  <si>
    <t xml:space="preserve">ANA LOZADA </t>
  </si>
  <si>
    <t>MAIRELIS CONTRERAS</t>
  </si>
  <si>
    <t xml:space="preserve">BOTOX  </t>
  </si>
  <si>
    <t xml:space="preserve">OLIVOS - JUNIO </t>
  </si>
  <si>
    <t xml:space="preserve">AREQUIPA - JUNIO </t>
  </si>
  <si>
    <t xml:space="preserve">TRUJILLO - JUNIO </t>
  </si>
  <si>
    <t xml:space="preserve">CHIMBOTE - JUNIO </t>
  </si>
  <si>
    <t>TURCO</t>
  </si>
  <si>
    <t>ZARA ORTIZ</t>
  </si>
  <si>
    <t>BLANCA</t>
  </si>
  <si>
    <t>ROSSANA</t>
  </si>
  <si>
    <t>SR. EDUAR</t>
  </si>
  <si>
    <t>CATERIN CAUNTER</t>
  </si>
  <si>
    <t>KARLA MANTENIMIENTO</t>
  </si>
  <si>
    <t>ROMELL</t>
  </si>
  <si>
    <t>LUIS</t>
  </si>
  <si>
    <t>DAIRA</t>
  </si>
  <si>
    <t xml:space="preserve">TRIAL </t>
  </si>
  <si>
    <t>ANA FIGUERERO</t>
  </si>
  <si>
    <t xml:space="preserve">CONSULTO MECHAS PARA HOMBRE </t>
  </si>
  <si>
    <t>ROSMERY SANCHEZ</t>
  </si>
  <si>
    <t>JULIO</t>
  </si>
  <si>
    <t>RETOQUE</t>
  </si>
  <si>
    <t>ADDYTH DOMINGUEZ</t>
  </si>
  <si>
    <t>MARCIA ARCE</t>
  </si>
  <si>
    <t>ALISADO</t>
  </si>
  <si>
    <t>ROSA LORENA MELENDEZ</t>
  </si>
  <si>
    <t>Jhosely cruz Mori</t>
  </si>
  <si>
    <t>Lucy minbela mori</t>
  </si>
  <si>
    <t>DANIELA MURIÑO</t>
  </si>
  <si>
    <t>SAORI GALVAN</t>
  </si>
  <si>
    <t>NORA LUPERDI</t>
  </si>
  <si>
    <t>ANDREA</t>
  </si>
  <si>
    <t>lizbeth  nicole cancino</t>
  </si>
  <si>
    <t xml:space="preserve">KARINA </t>
  </si>
  <si>
    <t>fernanda valerio</t>
  </si>
  <si>
    <t>chimbote</t>
  </si>
  <si>
    <t>color</t>
  </si>
  <si>
    <t>scarlet</t>
  </si>
  <si>
    <t>marco</t>
  </si>
  <si>
    <t>bio</t>
  </si>
  <si>
    <t>luz de milagro guevara</t>
  </si>
  <si>
    <t>karen</t>
  </si>
  <si>
    <t>arequipa</t>
  </si>
  <si>
    <t xml:space="preserve">botox </t>
  </si>
  <si>
    <t>de choco a 100</t>
  </si>
  <si>
    <t>CUADRO COMPARATIVO SEDES TOP JUNIO 2026</t>
  </si>
  <si>
    <t>RATIOS DE ATENCION SEDES TOP JUNIO  2026</t>
  </si>
  <si>
    <t>CUADRO COMPARATIVO SEDES TOP JULIO 2026</t>
  </si>
  <si>
    <t>RATIOS DE ATENCION SEDES TOP JULIO 2026</t>
  </si>
  <si>
    <t>DEPILACION LASER TODO EL CUERPO</t>
  </si>
  <si>
    <t xml:space="preserve">TRATAMIENTO PARA ESTRIAS </t>
  </si>
  <si>
    <t xml:space="preserve">BASE DE DATOS DE LINCE PARA SAN ISIDRO </t>
  </si>
  <si>
    <t xml:space="preserve">LINCE MANUAL LA TIENE LUISANA SE LA VA PEDIR A DARIANA </t>
  </si>
  <si>
    <t>Lince</t>
  </si>
  <si>
    <t>Olivos</t>
  </si>
  <si>
    <t>Trujillo</t>
  </si>
  <si>
    <t>Chimbote</t>
  </si>
  <si>
    <t>Arequipa</t>
  </si>
  <si>
    <t>Medellin</t>
  </si>
  <si>
    <t>Chicó</t>
  </si>
  <si>
    <t>Cahapinero</t>
  </si>
  <si>
    <t>Unilago</t>
  </si>
  <si>
    <t>GARANTÍAS Junio 2026</t>
  </si>
  <si>
    <t>Total</t>
  </si>
  <si>
    <t>1= ¿ Que tan contenta estas con el resultado de tu cabello ?</t>
  </si>
  <si>
    <t>2=¿ Que tal fue la atencion recibida ?</t>
  </si>
  <si>
    <t>3=¿Qué tanto nos recomiendas ?</t>
  </si>
  <si>
    <t>4= Puntuación Google Maps</t>
  </si>
  <si>
    <t>Total clientas Qr</t>
  </si>
  <si>
    <t>Total clientas encuestas</t>
  </si>
  <si>
    <t>Total citas</t>
  </si>
  <si>
    <t>Total citas efectivas</t>
  </si>
  <si>
    <t>Chapinero</t>
  </si>
  <si>
    <t>Alheli Flores</t>
  </si>
  <si>
    <t xml:space="preserve">NO ASISITIO </t>
  </si>
  <si>
    <t>NAYELY RAMOS</t>
  </si>
  <si>
    <t xml:space="preserve">COLOR ROJO </t>
  </si>
  <si>
    <t>GARANTÍAS Julio 2026</t>
  </si>
  <si>
    <t>Providencia</t>
  </si>
  <si>
    <t>Leones</t>
  </si>
  <si>
    <t>Encuesta junio 2026</t>
  </si>
  <si>
    <t>Total Comentarios de Google Maps</t>
  </si>
  <si>
    <t>Encuesta Acumulado 1/7/2026 al 5/7/2026</t>
  </si>
  <si>
    <t>1= ¿ Que tan contenta estas con el resultado de tu cabello ? Nivel de satisfaccion</t>
  </si>
  <si>
    <t xml:space="preserve">2=¿ Que tal fue la atencion recibida ? Nivel de atención </t>
  </si>
  <si>
    <t>3=¿Qué tanto nos recomiendas ? Nivel de recomendación</t>
  </si>
  <si>
    <t>Total clientas que escanearon el Qr</t>
  </si>
  <si>
    <t>Total clientas que respondieron la encuestas</t>
  </si>
  <si>
    <t>RANKING ESTILISTAS (PERÚ - COLOMBIA - CHILE) JUNIO 2026 / ACUMULADO JULIO 2026</t>
  </si>
  <si>
    <t>Estilista</t>
  </si>
  <si>
    <t>Ventas Totales</t>
  </si>
  <si>
    <t>N° Ventas</t>
  </si>
  <si>
    <t>Erika Garcia</t>
  </si>
  <si>
    <t>Joselin Mayo</t>
  </si>
  <si>
    <t>Flor Huaraz</t>
  </si>
  <si>
    <t>Osmery Molina</t>
  </si>
  <si>
    <t>Karina Camacaro</t>
  </si>
  <si>
    <t>Alberlis Briceño</t>
  </si>
  <si>
    <t>Ana Guevara</t>
  </si>
  <si>
    <t>Sofia Correa</t>
  </si>
  <si>
    <t>Resumen</t>
  </si>
  <si>
    <t>Ranking</t>
  </si>
  <si>
    <t>Ventas</t>
  </si>
  <si>
    <t>Servicios</t>
  </si>
  <si>
    <t>Ticket</t>
  </si>
  <si>
    <t>S/.13,932</t>
  </si>
  <si>
    <t>S/.188.27</t>
  </si>
  <si>
    <t>S/.13,042</t>
  </si>
  <si>
    <t>S/.197.61</t>
  </si>
  <si>
    <t>Blanca Cazal</t>
  </si>
  <si>
    <t>S/.12,449</t>
  </si>
  <si>
    <t>S/.177.84</t>
  </si>
  <si>
    <t>Andrea Palacios</t>
  </si>
  <si>
    <t>S/.12,206</t>
  </si>
  <si>
    <t>S/.169.53</t>
  </si>
  <si>
    <t>S/.12,101</t>
  </si>
  <si>
    <t>S/.177.96</t>
  </si>
  <si>
    <t>S/.10,667</t>
  </si>
  <si>
    <t>S/.177.78</t>
  </si>
  <si>
    <t>S/.10,109</t>
  </si>
  <si>
    <t>S/.177.35</t>
  </si>
  <si>
    <t>S/.9,362</t>
  </si>
  <si>
    <t>S/.180.04</t>
  </si>
  <si>
    <t>S/.8,353</t>
  </si>
  <si>
    <t>S/.177.72</t>
  </si>
  <si>
    <t>S/.6,019</t>
  </si>
  <si>
    <t>S/.200.63</t>
  </si>
  <si>
    <t>S/. 3,062.00</t>
  </si>
  <si>
    <t>S/. 170.11</t>
  </si>
  <si>
    <t>S/. 2,730.00</t>
  </si>
  <si>
    <t>S/. 195.00</t>
  </si>
  <si>
    <t>S/. 2,644.00</t>
  </si>
  <si>
    <t>S/. 155.53</t>
  </si>
  <si>
    <t>S/. 2,594.00</t>
  </si>
  <si>
    <t>S/. 162.13</t>
  </si>
  <si>
    <t>S/. 2,200.00</t>
  </si>
  <si>
    <t>S/. 183.33</t>
  </si>
  <si>
    <t>S/. 2,119.00</t>
  </si>
  <si>
    <t>S/. 176.58</t>
  </si>
  <si>
    <t>S/. 1,849.00</t>
  </si>
  <si>
    <t>S/. 168.09</t>
  </si>
  <si>
    <t>Carol Rios</t>
  </si>
  <si>
    <t>S/. 1,478.00</t>
  </si>
  <si>
    <t>S/. 147.80</t>
  </si>
  <si>
    <t>S/. 1,319.00</t>
  </si>
  <si>
    <t>S/. 164.88</t>
  </si>
  <si>
    <t>S/. 700.00</t>
  </si>
  <si>
    <t>S/. 140.00</t>
  </si>
  <si>
    <t>Mayor venta total: Erika Garcia — S/. 13,932.00</t>
  </si>
  <si>
    <t>Mayor ticket promedio: Sofia Correa — S/. 200.63</t>
  </si>
  <si>
    <t>Total de ventas del Top 10: S/. 108,240.00</t>
  </si>
  <si>
    <t>Total de servicios realizados: 596 ventas</t>
  </si>
  <si>
    <t xml:space="preserve"> Resumen</t>
  </si>
  <si>
    <t xml:space="preserve"> Mayor venta total: Joselin Mayo — S/. 3,062.00</t>
  </si>
  <si>
    <t xml:space="preserve"> Mayor número de servicios: Joselin Mayo — 18 servicios</t>
  </si>
  <si>
    <t xml:space="preserve"> Mayor ticket promedio: Sofia Correa — S/. 195.00</t>
  </si>
  <si>
    <t xml:space="preserve"> Total de ventas del Top 10: S/. 20,695.00</t>
  </si>
  <si>
    <t xml:space="preserve"> Total de servicios realizados: 123</t>
  </si>
  <si>
    <t>Oneida Figuera</t>
  </si>
  <si>
    <t>S/. 25,239.00</t>
  </si>
  <si>
    <t>S/. 189.77</t>
  </si>
  <si>
    <t>Xavier Carrillo</t>
  </si>
  <si>
    <t>S/. 15,479.00</t>
  </si>
  <si>
    <t>S/. 179.99</t>
  </si>
  <si>
    <t>Carlos Rios</t>
  </si>
  <si>
    <t>S/. 14,629.00</t>
  </si>
  <si>
    <t>S/. 197.69</t>
  </si>
  <si>
    <t>Sarai Aray Aray</t>
  </si>
  <si>
    <t>S/. 14,348.00</t>
  </si>
  <si>
    <t>S/. 149.46</t>
  </si>
  <si>
    <t>Mileidy Aray</t>
  </si>
  <si>
    <t>S/. 14,154.00</t>
  </si>
  <si>
    <t>S/. 170.53</t>
  </si>
  <si>
    <t>Sofia</t>
  </si>
  <si>
    <t>S/. 9,739.00</t>
  </si>
  <si>
    <t>S/. 183.75</t>
  </si>
  <si>
    <t>S/. 200.00</t>
  </si>
  <si>
    <t>S/. 4,050.00</t>
  </si>
  <si>
    <t>S/. 202.50</t>
  </si>
  <si>
    <t>S/. 3,729.00</t>
  </si>
  <si>
    <t>S/. 196.26</t>
  </si>
  <si>
    <t>S/. 3,090.00</t>
  </si>
  <si>
    <t>S/. 147.14</t>
  </si>
  <si>
    <t>S/. 2,600.00</t>
  </si>
  <si>
    <t>S/. 2,520.00</t>
  </si>
  <si>
    <t>S/. 157.50</t>
  </si>
  <si>
    <t>S/. 1,860.00</t>
  </si>
  <si>
    <t>S/. 143.08</t>
  </si>
  <si>
    <t>CIERRE JUNIO 2026 SEDE OLIVOS</t>
  </si>
  <si>
    <t>ACUMULADO JULIO 2026 SEDE OLIVOS</t>
  </si>
  <si>
    <t>CIERRE JUNIO 2026 SEDE TRUJILLO</t>
  </si>
  <si>
    <t>ACUMULADO JULIO 2026 SEDE TRUJILLO</t>
  </si>
  <si>
    <t xml:space="preserve"> Mayor venta total: Oneida Figuera — S/. 25,239.00</t>
  </si>
  <si>
    <t xml:space="preserve"> Mayor número de servicios: Oneida Figuera — 133 servicios</t>
  </si>
  <si>
    <t xml:space="preserve"> Mayor ticket promedio entre estilistas: Carlos Rios — S/. 197.69</t>
  </si>
  <si>
    <t xml:space="preserve"> Total de ventas del equipo: S/. 96,298.00</t>
  </si>
  <si>
    <t xml:space="preserve"> Total de servicios realizados: 533</t>
  </si>
  <si>
    <t xml:space="preserve"> Mayor venta total: Oneida Figuera — S/. 4,050.00</t>
  </si>
  <si>
    <t xml:space="preserve"> Mayor número de servicios: Mileidy Aray — 21 servicios</t>
  </si>
  <si>
    <t xml:space="preserve"> Mayor ticket promedio: Oneida Figuera — S/. 202.50</t>
  </si>
  <si>
    <t xml:space="preserve"> Total de ventas del equipo: S/. 18,089.00</t>
  </si>
  <si>
    <t xml:space="preserve"> Total de servicios realizados: 104</t>
  </si>
  <si>
    <t>Cesar Segovia</t>
  </si>
  <si>
    <t>S/. 16,170.00</t>
  </si>
  <si>
    <t>S/. 192.50</t>
  </si>
  <si>
    <t>Celeste Pedrique</t>
  </si>
  <si>
    <t>S/. 13,055.00</t>
  </si>
  <si>
    <t>S/. 191.99</t>
  </si>
  <si>
    <t>Luis Estilista</t>
  </si>
  <si>
    <t>S/. 12,500.00</t>
  </si>
  <si>
    <t>S/. 186.57</t>
  </si>
  <si>
    <t>S/. 10,299.00</t>
  </si>
  <si>
    <t>S/. 201.94</t>
  </si>
  <si>
    <t>Scarlett Estilista</t>
  </si>
  <si>
    <t>S/. 9,170.00</t>
  </si>
  <si>
    <t>S/. 169.81</t>
  </si>
  <si>
    <t>Tatiana Yovera</t>
  </si>
  <si>
    <t>S/. 3,530.00</t>
  </si>
  <si>
    <t>S/. 168.10</t>
  </si>
  <si>
    <t>S/. 900.00</t>
  </si>
  <si>
    <t>S/. 150.00</t>
  </si>
  <si>
    <t>Emily Parraz</t>
  </si>
  <si>
    <t>S/. 865.00</t>
  </si>
  <si>
    <t>S/. 144.17</t>
  </si>
  <si>
    <t>S/. 4,250.00</t>
  </si>
  <si>
    <t>S/. 193.18</t>
  </si>
  <si>
    <t>S/. 3,850.00</t>
  </si>
  <si>
    <t>S/. 175.00</t>
  </si>
  <si>
    <t>S/. 3,100.00</t>
  </si>
  <si>
    <t>S/. 221.43</t>
  </si>
  <si>
    <t>S/. 2,248.00</t>
  </si>
  <si>
    <t>S/. 187.33</t>
  </si>
  <si>
    <t>S/. 910.00</t>
  </si>
  <si>
    <t>S/. 182.00</t>
  </si>
  <si>
    <t>CIERRE JUNIO 2026 SEDE CHIMBOTE</t>
  </si>
  <si>
    <t>ACUMULADO JULIO 2026 SEDE CHIMBOTE</t>
  </si>
  <si>
    <t xml:space="preserve"> Mayor venta total: Cesar Segovia — S/. 16,170.00</t>
  </si>
  <si>
    <t xml:space="preserve"> Mayor número de servicios: Cesar Segovia — 84 servicios</t>
  </si>
  <si>
    <t xml:space="preserve"> Mayor ticket promedio entre estilistas: Sofia Correa — S/. 201.94</t>
  </si>
  <si>
    <t xml:space="preserve"> Total de ventas del equipo: S/. 70,759.00</t>
  </si>
  <si>
    <t xml:space="preserve"> Total de servicios realizados: 381</t>
  </si>
  <si>
    <t xml:space="preserve"> Mayor venta total: Ana Guevara — S/. 4,250.00</t>
  </si>
  <si>
    <t xml:space="preserve"> Mayor número de servicios: Ana Guevara y Cesar Segovia — 22 servicios cada uno.</t>
  </si>
  <si>
    <t xml:space="preserve"> Mayor ticket promedio entre estilistas: Luis Estilista — S/. 221.43</t>
  </si>
  <si>
    <t xml:space="preserve"> Total de ventas del equipo: S/. 14,758.00</t>
  </si>
  <si>
    <t xml:space="preserve"> Total de servicios realizados: 77</t>
  </si>
  <si>
    <t>S/. 16,410.00</t>
  </si>
  <si>
    <t>S/. 202.59</t>
  </si>
  <si>
    <t>Vanessa Yubiri Maza Sanchez</t>
  </si>
  <si>
    <t>S/. 15,460.00</t>
  </si>
  <si>
    <t>S/. 184.05</t>
  </si>
  <si>
    <t>S/. 8,730.00</t>
  </si>
  <si>
    <t>S/. 207.86</t>
  </si>
  <si>
    <t>Josmarys Garcia</t>
  </si>
  <si>
    <t>S/. 6,117.00</t>
  </si>
  <si>
    <t>S/. 160.97</t>
  </si>
  <si>
    <t>Patricia Ymata</t>
  </si>
  <si>
    <t>S/. 3,570.00</t>
  </si>
  <si>
    <t>S/. 198.33</t>
  </si>
  <si>
    <t>Erika Jarro</t>
  </si>
  <si>
    <t>S/. 2,649.00</t>
  </si>
  <si>
    <t>S/. 165.56</t>
  </si>
  <si>
    <t>Erika Miranda</t>
  </si>
  <si>
    <t>S/. 1,410.00</t>
  </si>
  <si>
    <t>S/. 201.43</t>
  </si>
  <si>
    <t>Pablo acuña</t>
  </si>
  <si>
    <t>Andri Manzanarez Montero</t>
  </si>
  <si>
    <t>S/. 2,780.00</t>
  </si>
  <si>
    <t>S/. 173.75</t>
  </si>
  <si>
    <t>S/. 2,750.00</t>
  </si>
  <si>
    <t>S/. 171.88</t>
  </si>
  <si>
    <t>S/. 2,460.00</t>
  </si>
  <si>
    <t>S/. 175.71</t>
  </si>
  <si>
    <t>S/. 1,540.00</t>
  </si>
  <si>
    <t>S/. 171.11</t>
  </si>
  <si>
    <t>S/. 830.00</t>
  </si>
  <si>
    <t>S/. 138.33</t>
  </si>
  <si>
    <t>S/. 330.00</t>
  </si>
  <si>
    <t>S/. 165.00</t>
  </si>
  <si>
    <t>Pablo  Acuña Velásquez</t>
  </si>
  <si>
    <t>Vanessa Maza Sanchez</t>
  </si>
  <si>
    <t xml:space="preserve">Andri Manzanarez </t>
  </si>
  <si>
    <t>CIERRE JUNIO 2026 SEDE AREQUIPA</t>
  </si>
  <si>
    <t>ACUMULADO JULIO 2026 SEDE AREQUIPA</t>
  </si>
  <si>
    <t xml:space="preserve"> Mayor venta total: Pablo Antonio Acuña Velásquez — S/. 16,410.00</t>
  </si>
  <si>
    <t xml:space="preserve"> Mayor número de servicios: Vanessa Yubiri Maza Sanchez — 84 servicios</t>
  </si>
  <si>
    <t xml:space="preserve"> Mayor ticket promedio entre estilistas: Andri Maria Manzanarez Montero — S/. 207.86</t>
  </si>
  <si>
    <t xml:space="preserve"> Total de ventas del equipo: S/. 54,056.00</t>
  </si>
  <si>
    <t xml:space="preserve"> Total de servicios realizados: 290</t>
  </si>
  <si>
    <t xml:space="preserve"> Mayor venta total: Andri María Manzanarez Montero — S/. 2,780.00</t>
  </si>
  <si>
    <t xml:space="preserve"> Mayor número de servicios: Andri María Manzanarez Montero y Pablo Antonio Acuña Velásquez — 16 servicios cada uno.</t>
  </si>
  <si>
    <t xml:space="preserve"> Mayor ticket promedio: Vanessa Yubiri Maza Sanchez — S/. 175.71</t>
  </si>
  <si>
    <t xml:space="preserve"> Total de ventas del equipo: S/. 10,690.00</t>
  </si>
  <si>
    <t xml:space="preserve"> Total de servicios realizados: 63</t>
  </si>
  <si>
    <t>Andres</t>
  </si>
  <si>
    <t>Katerine</t>
  </si>
  <si>
    <t>Emilse</t>
  </si>
  <si>
    <t>Jazmin</t>
  </si>
  <si>
    <t>Noris Torres</t>
  </si>
  <si>
    <t>Valentina</t>
  </si>
  <si>
    <t>Viviana</t>
  </si>
  <si>
    <t>Lorena</t>
  </si>
  <si>
    <t>Mateo</t>
  </si>
  <si>
    <t>Brayan</t>
  </si>
  <si>
    <t>Mariom Colina</t>
  </si>
  <si>
    <t>CIERRE JUNIO 2026 SEDE POBLADO</t>
  </si>
  <si>
    <t>ACUMULADO JULIO 2026 SEDE POBLADO</t>
  </si>
  <si>
    <t xml:space="preserve"> Mayor venta total: Andres — $ 16,680,000.00</t>
  </si>
  <si>
    <t xml:space="preserve"> Mayor número de servicios: Katerine — 72 servicios</t>
  </si>
  <si>
    <t xml:space="preserve"> Mayor ticket promedio (con volumen representativo): Andres — $ 260,625.00</t>
  </si>
  <si>
    <t xml:space="preserve"> Total de ventas del equipo: $ 111,724,890.00</t>
  </si>
  <si>
    <t xml:space="preserve"> Total de servicios realizados: 482</t>
  </si>
  <si>
    <t xml:space="preserve"> Mayor venta total: Andres — $ 4,770,000.00</t>
  </si>
  <si>
    <t xml:space="preserve"> Mayor número de servicios: Andres — 20 servicios</t>
  </si>
  <si>
    <t xml:space="preserve"> Mayor ticket promedio: Lorena — $ 281,250.00</t>
  </si>
  <si>
    <t xml:space="preserve"> Total de ventas del equipo: $ 23,499,900.00</t>
  </si>
  <si>
    <t xml:space="preserve"> Total de servicios realizados: 102</t>
  </si>
  <si>
    <t>Cindy</t>
  </si>
  <si>
    <t>Glen</t>
  </si>
  <si>
    <t>Alejandra</t>
  </si>
  <si>
    <t>Hilma Sarmiento</t>
  </si>
  <si>
    <t>Samuel</t>
  </si>
  <si>
    <t>Zully Niño</t>
  </si>
  <si>
    <t>Johana</t>
  </si>
  <si>
    <t>Zully</t>
  </si>
  <si>
    <t>CIERRE JUNIO 2026 SEDE CHICÓ</t>
  </si>
  <si>
    <t>ACUMULADO JULIO 2026 SEDE CHICÓ</t>
  </si>
  <si>
    <t>DIANA.</t>
  </si>
  <si>
    <t>Edna.</t>
  </si>
  <si>
    <t>SANDRA.</t>
  </si>
  <si>
    <t>YOSELIN.</t>
  </si>
  <si>
    <t>Lucia.</t>
  </si>
  <si>
    <t>YOLI.</t>
  </si>
  <si>
    <t>Paula Marin</t>
  </si>
  <si>
    <t>JOHANA.</t>
  </si>
  <si>
    <t>Gilma Sarmiento</t>
  </si>
  <si>
    <t>Edna</t>
  </si>
  <si>
    <t>Diana</t>
  </si>
  <si>
    <t>Yoselin</t>
  </si>
  <si>
    <t>Sandra</t>
  </si>
  <si>
    <t>Lucía</t>
  </si>
  <si>
    <t>Paula Marín</t>
  </si>
  <si>
    <t>Yoli</t>
  </si>
  <si>
    <t>Resumen Ejecutivo</t>
  </si>
  <si>
    <t>Resumen corregido</t>
  </si>
  <si>
    <t xml:space="preserve"> Mayor venta total: Diana — $ 19,910,000</t>
  </si>
  <si>
    <t xml:space="preserve"> Mayor número de servicios: Diana — 91 servicios</t>
  </si>
  <si>
    <t xml:space="preserve"> Mayor ticket promedio con volumen representativo: Johana — $ 238,750.00</t>
  </si>
  <si>
    <t xml:space="preserve"> Zully Niño (unificada) pasa a segundo lugar del ranking con $ 16,130,000 en ventas y 71 servicios.</t>
  </si>
  <si>
    <t xml:space="preserve"> Total de ventas del equipo (sin duplicados): $ 102,570,000.00</t>
  </si>
  <si>
    <t xml:space="preserve"> Total de servicios: 487</t>
  </si>
  <si>
    <t xml:space="preserve"> Mayor venta total: Cindy — $ 14,299,990.00</t>
  </si>
  <si>
    <t xml:space="preserve"> Mayor número de servicios: Cindy — 66 servicios</t>
  </si>
  <si>
    <t xml:space="preserve"> Mayor ticket promedio con volumen representativo: Zully Niño — $ 245,263.16</t>
  </si>
  <si>
    <t xml:space="preserve"> Total de ventas del equipo: $ 76,019,990.00</t>
  </si>
  <si>
    <t xml:space="preserve"> Total de servicios realizados: 356</t>
  </si>
  <si>
    <t xml:space="preserve"> Mayor venta total: Hilma Sarmiento — $ 4,250,000.00</t>
  </si>
  <si>
    <t xml:space="preserve"> Mayor número de servicios: Hilma Sarmiento — 22 servicios</t>
  </si>
  <si>
    <t xml:space="preserve"> Mayor ticket promedio: Johana — $ 222,352.94</t>
  </si>
  <si>
    <t xml:space="preserve"> Total de ventas del equipo: $ 22,430,000.00</t>
  </si>
  <si>
    <t xml:space="preserve"> Total de servicios realizados: 98</t>
  </si>
  <si>
    <t xml:space="preserve"> Ventas Totales del equipo: $ 23,340,000.00</t>
  </si>
  <si>
    <t xml:space="preserve"> Total de servicios: 111</t>
  </si>
  <si>
    <t xml:space="preserve"> Mayor venta: Edna — $ 4,500,000.00</t>
  </si>
  <si>
    <t xml:space="preserve"> Mayor número de servicios: Edna — 22 servicios</t>
  </si>
  <si>
    <t xml:space="preserve"> Mayor ticket promedio con volumen representativo: Zully — $ 238,235.29</t>
  </si>
  <si>
    <t>CIERRE JUNIO 2026 SEDE CHAPINERO</t>
  </si>
  <si>
    <t>ACUMULADO JULIO 2026 SEDE CHAPINERO</t>
  </si>
  <si>
    <t>Josma Nuñez</t>
  </si>
  <si>
    <t>Natacha Espinoza</t>
  </si>
  <si>
    <t>Nina Estilista</t>
  </si>
  <si>
    <t>Milena Vega</t>
  </si>
  <si>
    <t>Johana Gonzales</t>
  </si>
  <si>
    <t>Zully Estilista</t>
  </si>
  <si>
    <t>Cindy Contreras</t>
  </si>
  <si>
    <t>Glenn Duarte</t>
  </si>
  <si>
    <t>Alejandra Trejos</t>
  </si>
  <si>
    <t>Diana Estilista</t>
  </si>
  <si>
    <t>Edna Estilista</t>
  </si>
  <si>
    <t>Lucia Estilista</t>
  </si>
  <si>
    <t>Katerin Estilista</t>
  </si>
  <si>
    <t>María Alejandra Jiménez</t>
  </si>
  <si>
    <t>CIERRE JUNIO 2026 SEDE UNILAGO</t>
  </si>
  <si>
    <t>ACUMULADO JULIO 2026 SEDE UNILAGO</t>
  </si>
  <si>
    <t xml:space="preserve"> Ventas Totales del equipo: $ 65,900,000.00</t>
  </si>
  <si>
    <t xml:space="preserve"> Total de servicios realizados: 324</t>
  </si>
  <si>
    <t xml:space="preserve"> Mayor venta total: Josma Nuñez — $ 14,520,000.00</t>
  </si>
  <si>
    <t xml:space="preserve"> Mayor ticket promedio con volumen representativo: Johana Gonzales — $ 233,076.92</t>
  </si>
  <si>
    <t xml:space="preserve"> Mayor número de servicios: Josma Nuñez — 73 servicios</t>
  </si>
  <si>
    <t xml:space="preserve"> Ventas Totales del equipo: $ 12,160,000.00</t>
  </si>
  <si>
    <t xml:space="preserve"> Total de servicios realizados: 64</t>
  </si>
  <si>
    <t xml:space="preserve"> Mayor venta total: Josma Nuñez — $ 3,740,000.00</t>
  </si>
  <si>
    <t xml:space="preserve"> Mayor número de servicios: Josma Nuñez — 20 servicios</t>
  </si>
  <si>
    <t xml:space="preserve"> Mayor ticket promedio con volumen representativo: Nina Estilista — $ 202,666.67</t>
  </si>
  <si>
    <t>Mayor número de servicios: Erika Garcia — 74 servicios</t>
  </si>
  <si>
    <t>Sra MARILIN</t>
  </si>
  <si>
    <t>DAYANA</t>
  </si>
  <si>
    <t>ESTHER</t>
  </si>
  <si>
    <t xml:space="preserve">YULI </t>
  </si>
  <si>
    <t>ESCARLET</t>
  </si>
  <si>
    <t>UNIFORME EXTRA</t>
  </si>
  <si>
    <t>TOTAL EN S/</t>
  </si>
  <si>
    <t>CORTE</t>
  </si>
  <si>
    <t>DAMA</t>
  </si>
  <si>
    <t>CABALLERO</t>
  </si>
  <si>
    <t>XL (CORTE DAMA)</t>
  </si>
  <si>
    <t>XL (CORTE CABALLERO)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</si>
</sst>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_-&quot;S/&quot;\ * #,##0.00_-;\-&quot;S/&quot;\ * #,##0.00_-;_-&quot;S/&quot;\ * &quot;-&quot;??_-;_-@_-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000000"/>
      <name val="Roboto"/>
    </font>
    <font>
      <sz val="9"/>
      <color indexed="81"/>
      <name val="Tahoma"/>
    </font>
    <font>
      <b/>
      <sz val="9"/>
      <color indexed="81"/>
      <name val="Tahoma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.5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324">
    <xf numFmtId="0" fontId="0" fillId="0" borderId="0" xfId="0"/>
    <xf numFmtId="0" fontId="1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14" fillId="3" borderId="0" xfId="0" applyFont="1" applyFill="1"/>
    <xf numFmtId="16" fontId="14" fillId="3" borderId="0" xfId="0" applyNumberFormat="1" applyFont="1" applyFill="1"/>
    <xf numFmtId="0" fontId="15" fillId="4" borderId="1" xfId="0" applyFont="1" applyFill="1" applyBorder="1"/>
    <xf numFmtId="0" fontId="0" fillId="0" borderId="2" xfId="0" applyBorder="1"/>
    <xf numFmtId="0" fontId="15" fillId="5" borderId="3" xfId="0" applyFont="1" applyFill="1" applyBorder="1"/>
    <xf numFmtId="0" fontId="15" fillId="6" borderId="3" xfId="0" applyFont="1" applyFill="1" applyBorder="1"/>
    <xf numFmtId="0" fontId="15" fillId="7" borderId="3" xfId="0" applyFont="1" applyFill="1" applyBorder="1"/>
    <xf numFmtId="0" fontId="15" fillId="8" borderId="3" xfId="0" applyFont="1" applyFill="1" applyBorder="1"/>
    <xf numFmtId="0" fontId="15" fillId="9" borderId="3" xfId="0" applyFont="1" applyFill="1" applyBorder="1"/>
    <xf numFmtId="0" fontId="15" fillId="10" borderId="3" xfId="0" applyFont="1" applyFill="1" applyBorder="1"/>
    <xf numFmtId="0" fontId="15" fillId="11" borderId="4" xfId="0" applyFont="1" applyFill="1" applyBorder="1"/>
    <xf numFmtId="0" fontId="0" fillId="0" borderId="5" xfId="0" applyBorder="1"/>
    <xf numFmtId="0" fontId="15" fillId="0" borderId="0" xfId="0" applyFont="1"/>
    <xf numFmtId="0" fontId="0" fillId="2" borderId="2" xfId="0" applyFill="1" applyBorder="1"/>
    <xf numFmtId="0" fontId="0" fillId="2" borderId="5" xfId="0" applyFill="1" applyBorder="1"/>
    <xf numFmtId="0" fontId="14" fillId="2" borderId="0" xfId="0" applyFont="1" applyFill="1"/>
    <xf numFmtId="0" fontId="16" fillId="2" borderId="0" xfId="0" applyFont="1" applyFill="1"/>
    <xf numFmtId="0" fontId="16" fillId="0" borderId="0" xfId="0" applyFont="1"/>
    <xf numFmtId="0" fontId="14" fillId="3" borderId="0" xfId="0" applyFont="1" applyFill="1" applyAlignment="1">
      <alignment horizontal="right"/>
    </xf>
    <xf numFmtId="0" fontId="14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3" borderId="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15" fillId="4" borderId="10" xfId="0" applyFont="1" applyFill="1" applyBorder="1"/>
    <xf numFmtId="0" fontId="15" fillId="5" borderId="11" xfId="0" applyFont="1" applyFill="1" applyBorder="1"/>
    <xf numFmtId="0" fontId="15" fillId="6" borderId="11" xfId="0" applyFont="1" applyFill="1" applyBorder="1"/>
    <xf numFmtId="0" fontId="15" fillId="7" borderId="11" xfId="0" applyFont="1" applyFill="1" applyBorder="1"/>
    <xf numFmtId="0" fontId="15" fillId="8" borderId="11" xfId="0" applyFont="1" applyFill="1" applyBorder="1"/>
    <xf numFmtId="0" fontId="15" fillId="9" borderId="11" xfId="0" applyFont="1" applyFill="1" applyBorder="1"/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10" borderId="11" xfId="0" applyFont="1" applyFill="1" applyBorder="1"/>
    <xf numFmtId="0" fontId="15" fillId="11" borderId="13" xfId="0" applyFont="1" applyFill="1" applyBorder="1"/>
    <xf numFmtId="0" fontId="18" fillId="0" borderId="0" xfId="0" applyFont="1"/>
    <xf numFmtId="0" fontId="0" fillId="2" borderId="0" xfId="0" applyFill="1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0" fontId="0" fillId="13" borderId="0" xfId="0" applyFill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20" fillId="14" borderId="0" xfId="0" applyFont="1" applyFill="1"/>
    <xf numFmtId="16" fontId="20" fillId="14" borderId="0" xfId="0" applyNumberFormat="1" applyFont="1" applyFill="1"/>
    <xf numFmtId="0" fontId="21" fillId="2" borderId="0" xfId="0" applyFont="1" applyFill="1"/>
    <xf numFmtId="0" fontId="21" fillId="0" borderId="0" xfId="0" applyFont="1"/>
    <xf numFmtId="1" fontId="21" fillId="0" borderId="0" xfId="0" applyNumberFormat="1" applyFont="1"/>
    <xf numFmtId="1" fontId="21" fillId="0" borderId="0" xfId="2" applyNumberFormat="1" applyFont="1" applyBorder="1"/>
    <xf numFmtId="0" fontId="22" fillId="2" borderId="0" xfId="0" applyFont="1" applyFill="1" applyAlignment="1">
      <alignment horizontal="center"/>
    </xf>
    <xf numFmtId="0" fontId="23" fillId="2" borderId="0" xfId="0" applyFont="1" applyFill="1"/>
    <xf numFmtId="0" fontId="20" fillId="14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3" fillId="14" borderId="17" xfId="0" applyFont="1" applyFill="1" applyBorder="1" applyAlignment="1">
      <alignment horizontal="left" vertical="center"/>
    </xf>
    <xf numFmtId="0" fontId="20" fillId="14" borderId="0" xfId="0" applyFont="1" applyFill="1" applyAlignment="1">
      <alignment horizontal="center" vertical="center"/>
    </xf>
    <xf numFmtId="0" fontId="13" fillId="2" borderId="17" xfId="0" applyFont="1" applyFill="1" applyBorder="1"/>
    <xf numFmtId="0" fontId="13" fillId="2" borderId="0" xfId="0" applyFont="1" applyFill="1" applyAlignment="1">
      <alignment horizontal="center"/>
    </xf>
    <xf numFmtId="0" fontId="13" fillId="15" borderId="17" xfId="0" applyFont="1" applyFill="1" applyBorder="1"/>
    <xf numFmtId="0" fontId="13" fillId="15" borderId="0" xfId="0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1" fontId="21" fillId="0" borderId="0" xfId="2" applyNumberFormat="1" applyFont="1" applyBorder="1" applyAlignment="1">
      <alignment horizontal="center"/>
    </xf>
    <xf numFmtId="1" fontId="13" fillId="2" borderId="0" xfId="2" applyNumberFormat="1" applyFont="1" applyFill="1" applyBorder="1" applyAlignment="1">
      <alignment horizontal="center"/>
    </xf>
    <xf numFmtId="0" fontId="13" fillId="2" borderId="19" xfId="0" applyFont="1" applyFill="1" applyBorder="1"/>
    <xf numFmtId="0" fontId="13" fillId="2" borderId="20" xfId="0" applyFont="1" applyFill="1" applyBorder="1" applyAlignment="1">
      <alignment horizontal="center"/>
    </xf>
    <xf numFmtId="0" fontId="19" fillId="14" borderId="17" xfId="0" applyFont="1" applyFill="1" applyBorder="1" applyAlignment="1">
      <alignment horizontal="left" vertical="center"/>
    </xf>
    <xf numFmtId="0" fontId="24" fillId="14" borderId="0" xfId="0" applyFont="1" applyFill="1" applyAlignment="1">
      <alignment horizontal="center" vertical="center"/>
    </xf>
    <xf numFmtId="0" fontId="19" fillId="2" borderId="17" xfId="0" applyFont="1" applyFill="1" applyBorder="1"/>
    <xf numFmtId="0" fontId="19" fillId="2" borderId="0" xfId="0" applyFont="1" applyFill="1" applyAlignment="1">
      <alignment horizontal="center"/>
    </xf>
    <xf numFmtId="9" fontId="19" fillId="2" borderId="0" xfId="3" applyFont="1" applyFill="1" applyBorder="1" applyAlignment="1">
      <alignment horizontal="center"/>
    </xf>
    <xf numFmtId="0" fontId="19" fillId="2" borderId="19" xfId="0" applyFont="1" applyFill="1" applyBorder="1"/>
    <xf numFmtId="9" fontId="19" fillId="2" borderId="20" xfId="3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20" fillId="14" borderId="18" xfId="0" applyFont="1" applyFill="1" applyBorder="1" applyAlignment="1">
      <alignment horizontal="center" vertical="center"/>
    </xf>
    <xf numFmtId="0" fontId="25" fillId="4" borderId="24" xfId="0" applyFont="1" applyFill="1" applyBorder="1" applyAlignment="1">
      <alignment horizontal="center"/>
    </xf>
    <xf numFmtId="0" fontId="25" fillId="4" borderId="25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21" fillId="0" borderId="26" xfId="0" applyFont="1" applyBorder="1" applyAlignment="1">
      <alignment horizontal="center"/>
    </xf>
    <xf numFmtId="9" fontId="21" fillId="0" borderId="26" xfId="3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3" fillId="15" borderId="18" xfId="0" applyFont="1" applyFill="1" applyBorder="1" applyAlignment="1">
      <alignment horizontal="center"/>
    </xf>
    <xf numFmtId="1" fontId="13" fillId="2" borderId="18" xfId="2" applyNumberFormat="1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9" fontId="21" fillId="0" borderId="0" xfId="3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4" fillId="14" borderId="18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/>
    </xf>
    <xf numFmtId="9" fontId="19" fillId="2" borderId="18" xfId="3" applyFont="1" applyFill="1" applyBorder="1" applyAlignment="1">
      <alignment horizontal="center"/>
    </xf>
    <xf numFmtId="0" fontId="21" fillId="0" borderId="23" xfId="0" applyFont="1" applyBorder="1" applyAlignment="1">
      <alignment horizontal="center"/>
    </xf>
    <xf numFmtId="9" fontId="21" fillId="0" borderId="5" xfId="3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9" fontId="19" fillId="2" borderId="21" xfId="3" applyFont="1" applyFill="1" applyBorder="1" applyAlignment="1">
      <alignment horizontal="center"/>
    </xf>
    <xf numFmtId="0" fontId="25" fillId="4" borderId="27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2" borderId="0" xfId="0" applyFont="1" applyFill="1" applyAlignment="1">
      <alignment horizontal="center"/>
    </xf>
    <xf numFmtId="14" fontId="26" fillId="2" borderId="0" xfId="2" applyNumberFormat="1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14" fontId="27" fillId="2" borderId="0" xfId="2" applyNumberFormat="1" applyFont="1" applyFill="1" applyBorder="1" applyAlignment="1">
      <alignment horizontal="center"/>
    </xf>
    <xf numFmtId="16" fontId="27" fillId="2" borderId="0" xfId="0" applyNumberFormat="1" applyFont="1" applyFill="1" applyAlignment="1">
      <alignment horizontal="center"/>
    </xf>
    <xf numFmtId="0" fontId="27" fillId="2" borderId="0" xfId="0" applyFont="1" applyFill="1"/>
    <xf numFmtId="14" fontId="27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14" fontId="27" fillId="2" borderId="0" xfId="2" applyNumberFormat="1" applyFont="1" applyFill="1" applyBorder="1" applyAlignment="1">
      <alignment horizontal="center" vertical="center"/>
    </xf>
    <xf numFmtId="16" fontId="27" fillId="2" borderId="0" xfId="0" applyNumberFormat="1" applyFont="1" applyFill="1" applyAlignment="1">
      <alignment horizontal="center" vertical="center"/>
    </xf>
    <xf numFmtId="0" fontId="20" fillId="0" borderId="0" xfId="0" applyFont="1"/>
    <xf numFmtId="16" fontId="20" fillId="0" borderId="0" xfId="0" applyNumberFormat="1" applyFont="1"/>
    <xf numFmtId="0" fontId="2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14" borderId="0" xfId="0" applyFont="1" applyFill="1" applyAlignment="1">
      <alignment horizontal="center" vertical="center"/>
    </xf>
    <xf numFmtId="0" fontId="21" fillId="16" borderId="0" xfId="0" applyFont="1" applyFill="1"/>
    <xf numFmtId="9" fontId="19" fillId="16" borderId="0" xfId="3" applyFont="1" applyFill="1" applyBorder="1" applyAlignment="1">
      <alignment horizontal="center"/>
    </xf>
    <xf numFmtId="9" fontId="19" fillId="16" borderId="18" xfId="3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/>
    </xf>
    <xf numFmtId="16" fontId="32" fillId="14" borderId="0" xfId="0" applyNumberFormat="1" applyFont="1" applyFill="1"/>
    <xf numFmtId="0" fontId="33" fillId="0" borderId="33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20" fontId="34" fillId="0" borderId="0" xfId="0" applyNumberFormat="1" applyFont="1" applyAlignment="1">
      <alignment horizontal="center" vertical="center"/>
    </xf>
    <xf numFmtId="0" fontId="34" fillId="0" borderId="0" xfId="0" applyFont="1"/>
    <xf numFmtId="0" fontId="11" fillId="0" borderId="0" xfId="0" applyFont="1"/>
    <xf numFmtId="0" fontId="12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0" borderId="22" xfId="0" applyFont="1" applyBorder="1" applyAlignment="1">
      <alignment horizontal="center"/>
    </xf>
    <xf numFmtId="0" fontId="35" fillId="16" borderId="0" xfId="0" applyFont="1" applyFill="1"/>
    <xf numFmtId="0" fontId="10" fillId="0" borderId="22" xfId="0" applyFont="1" applyBorder="1" applyAlignment="1">
      <alignment horizontal="center"/>
    </xf>
    <xf numFmtId="43" fontId="0" fillId="0" borderId="22" xfId="1" applyFont="1" applyBorder="1" applyAlignment="1">
      <alignment horizontal="center"/>
    </xf>
    <xf numFmtId="0" fontId="21" fillId="17" borderId="0" xfId="0" applyFont="1" applyFill="1"/>
    <xf numFmtId="0" fontId="12" fillId="17" borderId="22" xfId="0" applyFont="1" applyFill="1" applyBorder="1" applyAlignment="1">
      <alignment horizontal="center"/>
    </xf>
    <xf numFmtId="0" fontId="12" fillId="17" borderId="22" xfId="0" applyFont="1" applyFill="1" applyBorder="1" applyAlignment="1">
      <alignment horizontal="center" vertical="center"/>
    </xf>
    <xf numFmtId="0" fontId="10" fillId="17" borderId="22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0" fillId="17" borderId="22" xfId="0" applyFill="1" applyBorder="1" applyAlignment="1">
      <alignment horizontal="center"/>
    </xf>
    <xf numFmtId="43" fontId="0" fillId="17" borderId="22" xfId="1" applyFont="1" applyFill="1" applyBorder="1" applyAlignment="1">
      <alignment horizontal="center"/>
    </xf>
    <xf numFmtId="0" fontId="17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43" fontId="0" fillId="17" borderId="22" xfId="0" applyNumberFormat="1" applyFill="1" applyBorder="1" applyAlignment="1">
      <alignment horizontal="center"/>
    </xf>
    <xf numFmtId="0" fontId="36" fillId="0" borderId="0" xfId="0" applyFont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20" fontId="36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20" fontId="37" fillId="0" borderId="0" xfId="0" applyNumberFormat="1" applyFont="1" applyAlignment="1">
      <alignment horizontal="center" vertical="center"/>
    </xf>
    <xf numFmtId="0" fontId="37" fillId="0" borderId="0" xfId="0" applyFont="1"/>
    <xf numFmtId="0" fontId="9" fillId="0" borderId="22" xfId="0" applyFont="1" applyBorder="1" applyAlignment="1">
      <alignment horizontal="center"/>
    </xf>
    <xf numFmtId="0" fontId="36" fillId="0" borderId="0" xfId="0" applyFont="1"/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21" fillId="2" borderId="0" xfId="0" applyNumberFormat="1" applyFont="1" applyFill="1"/>
    <xf numFmtId="1" fontId="21" fillId="2" borderId="0" xfId="2" applyNumberFormat="1" applyFont="1" applyFill="1" applyBorder="1"/>
    <xf numFmtId="0" fontId="8" fillId="0" borderId="0" xfId="0" applyFont="1" applyAlignment="1">
      <alignment horizontal="center" vertical="center"/>
    </xf>
    <xf numFmtId="0" fontId="7" fillId="0" borderId="0" xfId="0" applyFont="1"/>
    <xf numFmtId="0" fontId="0" fillId="0" borderId="21" xfId="0" applyBorder="1"/>
    <xf numFmtId="14" fontId="0" fillId="0" borderId="0" xfId="0" applyNumberFormat="1"/>
    <xf numFmtId="18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34" fillId="0" borderId="0" xfId="0" applyFont="1" applyAlignment="1">
      <alignment horizontal="center"/>
    </xf>
    <xf numFmtId="14" fontId="34" fillId="0" borderId="0" xfId="0" applyNumberFormat="1" applyFont="1" applyAlignment="1">
      <alignment horizontal="center"/>
    </xf>
    <xf numFmtId="20" fontId="3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12" fillId="2" borderId="22" xfId="0" applyFont="1" applyFill="1" applyBorder="1" applyAlignment="1">
      <alignment horizontal="center" wrapText="1"/>
    </xf>
    <xf numFmtId="0" fontId="5" fillId="18" borderId="22" xfId="0" applyFont="1" applyFill="1" applyBorder="1" applyAlignment="1">
      <alignment horizontal="center" wrapText="1"/>
    </xf>
    <xf numFmtId="0" fontId="5" fillId="2" borderId="22" xfId="0" applyFont="1" applyFill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9" fontId="0" fillId="0" borderId="22" xfId="3" applyFon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5" fillId="0" borderId="26" xfId="0" applyFont="1" applyBorder="1" applyAlignment="1">
      <alignment horizontal="center"/>
    </xf>
    <xf numFmtId="9" fontId="5" fillId="18" borderId="22" xfId="3" applyFont="1" applyFill="1" applyBorder="1" applyAlignment="1">
      <alignment horizontal="center" wrapText="1"/>
    </xf>
    <xf numFmtId="9" fontId="12" fillId="0" borderId="22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0" xfId="0" applyFont="1"/>
    <xf numFmtId="0" fontId="40" fillId="0" borderId="0" xfId="0" applyFont="1"/>
    <xf numFmtId="0" fontId="2" fillId="0" borderId="22" xfId="0" applyFont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4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34" fillId="0" borderId="3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16" borderId="22" xfId="0" applyFont="1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2" fillId="2" borderId="2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6" fillId="2" borderId="0" xfId="0" applyFont="1" applyFill="1" applyAlignment="1">
      <alignment horizontal="left" vertical="center" wrapText="1"/>
    </xf>
    <xf numFmtId="0" fontId="43" fillId="17" borderId="2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indent="1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18" xfId="0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46" fillId="0" borderId="17" xfId="0" applyFont="1" applyBorder="1" applyAlignment="1">
      <alignment vertical="center"/>
    </xf>
    <xf numFmtId="0" fontId="2" fillId="0" borderId="18" xfId="0" applyFont="1" applyBorder="1"/>
    <xf numFmtId="0" fontId="2" fillId="0" borderId="17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left" vertical="center" indent="1"/>
    </xf>
    <xf numFmtId="0" fontId="46" fillId="0" borderId="0" xfId="0" applyFont="1" applyAlignment="1">
      <alignment vertical="center"/>
    </xf>
    <xf numFmtId="17" fontId="2" fillId="2" borderId="17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17" xfId="0" applyFont="1" applyBorder="1"/>
    <xf numFmtId="0" fontId="2" fillId="0" borderId="1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2" xfId="0" applyFont="1" applyBorder="1" applyAlignment="1">
      <alignment horizontal="center"/>
    </xf>
    <xf numFmtId="0" fontId="0" fillId="17" borderId="22" xfId="0" applyFill="1" applyBorder="1" applyAlignment="1">
      <alignment horizontal="center" vertical="center"/>
    </xf>
    <xf numFmtId="43" fontId="0" fillId="0" borderId="2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17" borderId="22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0" fillId="4" borderId="14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5" fillId="14" borderId="6" xfId="0" applyFont="1" applyFill="1" applyBorder="1" applyAlignment="1">
      <alignment horizontal="center" wrapText="1"/>
    </xf>
    <xf numFmtId="0" fontId="25" fillId="14" borderId="2" xfId="0" applyFont="1" applyFill="1" applyBorder="1" applyAlignment="1">
      <alignment horizontal="center" wrapText="1"/>
    </xf>
    <xf numFmtId="0" fontId="25" fillId="14" borderId="8" xfId="0" applyFont="1" applyFill="1" applyBorder="1" applyAlignment="1">
      <alignment horizontal="center" wrapText="1"/>
    </xf>
    <xf numFmtId="0" fontId="25" fillId="14" borderId="23" xfId="0" applyFont="1" applyFill="1" applyBorder="1" applyAlignment="1">
      <alignment horizontal="center" wrapText="1"/>
    </xf>
    <xf numFmtId="0" fontId="25" fillId="14" borderId="5" xfId="0" applyFont="1" applyFill="1" applyBorder="1" applyAlignment="1">
      <alignment horizontal="center" wrapText="1"/>
    </xf>
    <xf numFmtId="0" fontId="25" fillId="14" borderId="12" xfId="0" applyFont="1" applyFill="1" applyBorder="1" applyAlignment="1">
      <alignment horizontal="center" wrapText="1"/>
    </xf>
    <xf numFmtId="0" fontId="25" fillId="2" borderId="0" xfId="0" applyFont="1" applyFill="1" applyAlignment="1">
      <alignment horizontal="center" wrapText="1"/>
    </xf>
    <xf numFmtId="0" fontId="24" fillId="2" borderId="0" xfId="0" applyFont="1" applyFill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25" fillId="4" borderId="28" xfId="0" applyFont="1" applyFill="1" applyBorder="1" applyAlignment="1">
      <alignment horizontal="center" vertical="center" wrapText="1"/>
    </xf>
    <xf numFmtId="0" fontId="25" fillId="4" borderId="29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wrapText="1"/>
    </xf>
    <xf numFmtId="0" fontId="21" fillId="0" borderId="8" xfId="0" applyFont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5" fillId="14" borderId="6" xfId="0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25" fillId="14" borderId="8" xfId="0" applyFont="1" applyFill="1" applyBorder="1" applyAlignment="1">
      <alignment horizontal="center" vertical="center" wrapText="1"/>
    </xf>
    <xf numFmtId="0" fontId="25" fillId="14" borderId="23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5" fillId="14" borderId="12" xfId="0" applyFont="1" applyFill="1" applyBorder="1" applyAlignment="1">
      <alignment horizontal="center" vertical="center" wrapText="1"/>
    </xf>
    <xf numFmtId="17" fontId="2" fillId="16" borderId="22" xfId="0" applyNumberFormat="1" applyFont="1" applyFill="1" applyBorder="1" applyAlignment="1">
      <alignment horizontal="center"/>
    </xf>
    <xf numFmtId="0" fontId="2" fillId="16" borderId="22" xfId="0" applyFont="1" applyFill="1" applyBorder="1" applyAlignment="1">
      <alignment horizontal="center"/>
    </xf>
    <xf numFmtId="0" fontId="27" fillId="2" borderId="30" xfId="0" applyFont="1" applyFill="1" applyBorder="1" applyAlignment="1">
      <alignment horizontal="left" vertical="center" wrapText="1"/>
    </xf>
    <xf numFmtId="0" fontId="27" fillId="2" borderId="31" xfId="0" applyFont="1" applyFill="1" applyBorder="1" applyAlignment="1">
      <alignment horizontal="left" vertical="center" wrapText="1"/>
    </xf>
    <xf numFmtId="0" fontId="27" fillId="2" borderId="32" xfId="0" applyFont="1" applyFill="1" applyBorder="1" applyAlignment="1">
      <alignment horizontal="left" vertical="center" wrapText="1"/>
    </xf>
    <xf numFmtId="0" fontId="27" fillId="2" borderId="22" xfId="0" applyFont="1" applyFill="1" applyBorder="1" applyAlignment="1">
      <alignment horizontal="left" vertical="center" wrapText="1"/>
    </xf>
    <xf numFmtId="0" fontId="43" fillId="16" borderId="22" xfId="0" applyFont="1" applyFill="1" applyBorder="1" applyAlignment="1">
      <alignment horizontal="center"/>
    </xf>
    <xf numFmtId="0" fontId="43" fillId="17" borderId="30" xfId="0" applyFont="1" applyFill="1" applyBorder="1" applyAlignment="1">
      <alignment horizontal="center" vertical="center"/>
    </xf>
    <xf numFmtId="0" fontId="43" fillId="17" borderId="31" xfId="0" applyFont="1" applyFill="1" applyBorder="1" applyAlignment="1">
      <alignment horizontal="center" vertical="center"/>
    </xf>
    <xf numFmtId="0" fontId="43" fillId="17" borderId="3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left" vertical="center" wrapText="1"/>
    </xf>
    <xf numFmtId="0" fontId="26" fillId="2" borderId="30" xfId="0" applyFont="1" applyFill="1" applyBorder="1" applyAlignment="1">
      <alignment horizontal="left" vertical="center" wrapText="1"/>
    </xf>
    <xf numFmtId="0" fontId="26" fillId="2" borderId="31" xfId="0" applyFont="1" applyFill="1" applyBorder="1" applyAlignment="1">
      <alignment horizontal="left" vertical="center" wrapText="1"/>
    </xf>
    <xf numFmtId="0" fontId="26" fillId="2" borderId="32" xfId="0" applyFont="1" applyFill="1" applyBorder="1" applyAlignment="1">
      <alignment horizontal="left" vertical="center" wrapText="1"/>
    </xf>
    <xf numFmtId="0" fontId="2" fillId="16" borderId="30" xfId="0" applyFont="1" applyFill="1" applyBorder="1" applyAlignment="1">
      <alignment horizontal="center"/>
    </xf>
    <xf numFmtId="0" fontId="2" fillId="16" borderId="32" xfId="0" applyFont="1" applyFill="1" applyBorder="1" applyAlignment="1">
      <alignment horizontal="center"/>
    </xf>
    <xf numFmtId="0" fontId="26" fillId="2" borderId="0" xfId="0" applyFont="1" applyFill="1" applyAlignment="1">
      <alignment horizontal="left" wrapText="1"/>
    </xf>
    <xf numFmtId="0" fontId="12" fillId="17" borderId="30" xfId="0" applyFont="1" applyFill="1" applyBorder="1" applyAlignment="1">
      <alignment horizontal="center"/>
    </xf>
    <xf numFmtId="0" fontId="12" fillId="17" borderId="31" xfId="0" applyFont="1" applyFill="1" applyBorder="1" applyAlignment="1">
      <alignment horizontal="center"/>
    </xf>
    <xf numFmtId="0" fontId="12" fillId="17" borderId="32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left" vertical="center"/>
    </xf>
    <xf numFmtId="0" fontId="12" fillId="17" borderId="31" xfId="0" applyFont="1" applyFill="1" applyBorder="1" applyAlignment="1">
      <alignment horizontal="left" vertical="center"/>
    </xf>
    <xf numFmtId="0" fontId="12" fillId="17" borderId="32" xfId="0" applyFont="1" applyFill="1" applyBorder="1" applyAlignment="1">
      <alignment horizontal="left" vertical="center"/>
    </xf>
    <xf numFmtId="0" fontId="4" fillId="16" borderId="22" xfId="0" applyFont="1" applyFill="1" applyBorder="1" applyAlignment="1">
      <alignment horizontal="center"/>
    </xf>
    <xf numFmtId="0" fontId="5" fillId="16" borderId="22" xfId="0" applyFont="1" applyFill="1" applyBorder="1" applyAlignment="1">
      <alignment horizontal="center"/>
    </xf>
    <xf numFmtId="0" fontId="17" fillId="16" borderId="22" xfId="0" applyFont="1" applyFill="1" applyBorder="1" applyAlignment="1">
      <alignment horizontal="center" wrapText="1"/>
    </xf>
    <xf numFmtId="0" fontId="12" fillId="17" borderId="30" xfId="0" applyFont="1" applyFill="1" applyBorder="1" applyAlignment="1">
      <alignment horizontal="center" wrapText="1"/>
    </xf>
    <xf numFmtId="0" fontId="12" fillId="17" borderId="31" xfId="0" applyFont="1" applyFill="1" applyBorder="1" applyAlignment="1">
      <alignment horizontal="center" wrapText="1"/>
    </xf>
    <xf numFmtId="0" fontId="12" fillId="17" borderId="32" xfId="0" applyFont="1" applyFill="1" applyBorder="1" applyAlignment="1">
      <alignment horizontal="center" wrapText="1"/>
    </xf>
    <xf numFmtId="0" fontId="17" fillId="17" borderId="22" xfId="0" applyFont="1" applyFill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12" fillId="0" borderId="32" xfId="0" applyFont="1" applyBorder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7" fillId="12" borderId="6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12" borderId="9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00FF99"/>
      <color rgb="FFFF9999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079E-7B5D-4618-A47E-E4BF9A0158E4}">
  <dimension ref="A1:BX123"/>
  <sheetViews>
    <sheetView showGridLines="0" topLeftCell="A97" zoomScale="50" zoomScaleNormal="50" workbookViewId="0">
      <pane xSplit="1" topLeftCell="B1" activePane="topRight" state="frozen"/>
      <selection pane="topRight" activeCell="AE33" sqref="AE33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8" width="9.42578125" style="3" customWidth="1"/>
    <col min="39" max="39" width="11.85546875" style="3" customWidth="1"/>
    <col min="40" max="40" width="14.42578125" style="3" customWidth="1"/>
    <col min="41" max="41" width="17.5703125" style="3" customWidth="1"/>
    <col min="42" max="42" width="16.7109375" style="3" customWidth="1"/>
    <col min="43" max="43" width="14.85546875" style="3" customWidth="1"/>
    <col min="44" max="44" width="24" style="3" customWidth="1"/>
    <col min="45" max="45" width="24.28515625" style="3" customWidth="1"/>
    <col min="46" max="46" width="34.85546875" style="3" customWidth="1"/>
    <col min="47" max="47" width="30.42578125" style="3" customWidth="1"/>
    <col min="48" max="48" width="21.140625" style="3" customWidth="1"/>
    <col min="49" max="49" width="10.5703125" style="3" customWidth="1"/>
    <col min="51" max="51" width="33.5703125" customWidth="1"/>
    <col min="52" max="52" width="29.28515625" customWidth="1"/>
    <col min="53" max="53" width="28.7109375" customWidth="1"/>
    <col min="54" max="54" width="29.85546875" customWidth="1"/>
    <col min="55" max="55" width="17" customWidth="1"/>
    <col min="58" max="58" width="14.140625" style="2" customWidth="1"/>
    <col min="59" max="59" width="17.7109375" style="2" customWidth="1"/>
    <col min="60" max="60" width="25.42578125" style="2" customWidth="1"/>
    <col min="61" max="61" width="26.5703125" style="2" customWidth="1"/>
  </cols>
  <sheetData>
    <row r="1" spans="1:61" ht="21" customHeight="1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62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3"/>
      <c r="AY1" s="277" t="s">
        <v>1</v>
      </c>
      <c r="AZ1" s="278"/>
      <c r="BA1" s="278"/>
      <c r="BB1" s="278"/>
      <c r="BC1" s="279"/>
      <c r="BF1" s="263"/>
      <c r="BG1" s="263"/>
      <c r="BH1" s="263"/>
      <c r="BI1" s="263"/>
    </row>
    <row r="2" spans="1:61" s="1" customFormat="1" ht="23.25" customHeight="1" thickBot="1">
      <c r="A2" s="53"/>
      <c r="B2" s="54">
        <v>45689</v>
      </c>
      <c r="C2" s="54">
        <v>45690</v>
      </c>
      <c r="D2" s="54">
        <v>45691</v>
      </c>
      <c r="E2" s="54">
        <v>45692</v>
      </c>
      <c r="F2" s="54">
        <v>45693</v>
      </c>
      <c r="G2" s="54">
        <v>45694</v>
      </c>
      <c r="H2" s="54">
        <v>45695</v>
      </c>
      <c r="I2" s="54">
        <v>45696</v>
      </c>
      <c r="J2" s="54">
        <v>45697</v>
      </c>
      <c r="K2" s="54">
        <v>45698</v>
      </c>
      <c r="L2" s="54">
        <v>45699</v>
      </c>
      <c r="M2" s="54">
        <v>45700</v>
      </c>
      <c r="N2" s="54">
        <v>45701</v>
      </c>
      <c r="O2" s="54">
        <v>45702</v>
      </c>
      <c r="P2" s="54">
        <v>45703</v>
      </c>
      <c r="Q2" s="54">
        <v>45704</v>
      </c>
      <c r="R2" s="54">
        <v>45705</v>
      </c>
      <c r="S2" s="54">
        <v>45706</v>
      </c>
      <c r="T2" s="54">
        <v>45707</v>
      </c>
      <c r="U2" s="54">
        <v>45708</v>
      </c>
      <c r="V2" s="54">
        <v>45709</v>
      </c>
      <c r="W2" s="54">
        <v>45710</v>
      </c>
      <c r="X2" s="54">
        <v>45711</v>
      </c>
      <c r="Y2" s="54">
        <v>45712</v>
      </c>
      <c r="Z2" s="54">
        <v>45713</v>
      </c>
      <c r="AA2" s="54">
        <v>45714</v>
      </c>
      <c r="AB2" s="54">
        <v>45715</v>
      </c>
      <c r="AC2" s="54">
        <v>45716</v>
      </c>
      <c r="AD2" s="54"/>
      <c r="AE2" s="54"/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Y2" s="280"/>
      <c r="AZ2" s="281"/>
      <c r="BA2" s="281"/>
      <c r="BB2" s="281"/>
      <c r="BC2" s="282"/>
      <c r="BF2" s="263"/>
      <c r="BG2" s="263"/>
      <c r="BH2" s="263"/>
      <c r="BI2" s="263"/>
    </row>
    <row r="3" spans="1:61" ht="21.75" thickBot="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63">
        <f t="shared" ref="AG3:AG11" si="0">SUM(B3:AF3)</f>
        <v>0</v>
      </c>
      <c r="AH3" s="63"/>
      <c r="AI3" s="63">
        <f>AG3</f>
        <v>0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12</v>
      </c>
      <c r="AR3" s="65" t="s">
        <v>13</v>
      </c>
      <c r="AS3" s="65" t="s">
        <v>63</v>
      </c>
      <c r="AT3" s="65" t="s">
        <v>64</v>
      </c>
      <c r="AU3" s="65" t="s">
        <v>14</v>
      </c>
      <c r="AV3" s="65" t="s">
        <v>15</v>
      </c>
      <c r="AW3" s="84" t="s">
        <v>2</v>
      </c>
      <c r="AY3" s="85" t="s">
        <v>16</v>
      </c>
      <c r="AZ3" s="86" t="s">
        <v>17</v>
      </c>
      <c r="BA3" s="86" t="s">
        <v>18</v>
      </c>
      <c r="BB3" s="86" t="s">
        <v>19</v>
      </c>
      <c r="BC3" s="86" t="s">
        <v>20</v>
      </c>
      <c r="BF3" s="110"/>
      <c r="BG3" s="110"/>
      <c r="BH3" s="111"/>
      <c r="BI3" s="110"/>
    </row>
    <row r="4" spans="1:61" ht="21">
      <c r="A4" s="55" t="s">
        <v>21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63">
        <f t="shared" si="0"/>
        <v>0</v>
      </c>
      <c r="AH4" s="63"/>
      <c r="AI4" s="63">
        <f>AG4+AH6+AH7+AH8</f>
        <v>0</v>
      </c>
      <c r="AK4" s="66" t="s">
        <v>5</v>
      </c>
      <c r="AL4" s="67">
        <f t="shared" ref="AL4:AL12" si="1">AI3</f>
        <v>0</v>
      </c>
      <c r="AM4" s="67">
        <f t="shared" ref="AM4:AM12" si="2">AI14</f>
        <v>0</v>
      </c>
      <c r="AN4" s="67">
        <f t="shared" ref="AN4:AN12" si="3">AI25</f>
        <v>0</v>
      </c>
      <c r="AO4" s="67">
        <f t="shared" ref="AO4:AO12" si="4">AI36</f>
        <v>0</v>
      </c>
      <c r="AP4" s="67">
        <f t="shared" ref="AP4:AP12" si="5">AI47</f>
        <v>0</v>
      </c>
      <c r="AQ4" s="67">
        <f t="shared" ref="AQ4:AQ12" si="6">AI58</f>
        <v>0</v>
      </c>
      <c r="AR4" s="67">
        <f t="shared" ref="AR4:AR12" si="7">AI69</f>
        <v>0</v>
      </c>
      <c r="AS4" s="67">
        <f t="shared" ref="AS4:AS12" si="8">AI80</f>
        <v>0</v>
      </c>
      <c r="AT4" s="67">
        <f t="shared" ref="AT4:AT12" si="9">AI115</f>
        <v>0</v>
      </c>
      <c r="AU4" s="67">
        <f t="shared" ref="AU4:AU12" si="10">AI91</f>
        <v>0</v>
      </c>
      <c r="AV4" s="67">
        <f t="shared" ref="AV4:AV12" si="11">AI102</f>
        <v>0</v>
      </c>
      <c r="AW4" s="87">
        <f t="shared" ref="AW4:AW12" si="12">SUM(AL4:AV4)</f>
        <v>0</v>
      </c>
      <c r="AY4" s="88">
        <v>1</v>
      </c>
      <c r="AZ4" s="88" t="s">
        <v>7</v>
      </c>
      <c r="BA4" s="88">
        <f>AL5</f>
        <v>0</v>
      </c>
      <c r="BB4" s="88">
        <f>AL7+AL9</f>
        <v>0</v>
      </c>
      <c r="BC4" s="89" t="e">
        <f t="shared" ref="BC4:BC14" si="13">BB4/BA4</f>
        <v>#DIV/0!</v>
      </c>
      <c r="BF4" s="112"/>
      <c r="BG4" s="112"/>
      <c r="BH4" s="113"/>
      <c r="BI4" s="112"/>
    </row>
    <row r="5" spans="1:61" ht="21">
      <c r="A5" s="55" t="s">
        <v>22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63">
        <f t="shared" si="0"/>
        <v>0</v>
      </c>
      <c r="AH5" s="63"/>
      <c r="AI5" s="63">
        <f t="shared" ref="AI5:AI11" si="14">AG5-AH5</f>
        <v>0</v>
      </c>
      <c r="AK5" s="66" t="s">
        <v>21</v>
      </c>
      <c r="AL5" s="67">
        <f t="shared" si="1"/>
        <v>0</v>
      </c>
      <c r="AM5" s="67">
        <f t="shared" si="2"/>
        <v>0</v>
      </c>
      <c r="AN5" s="67">
        <f t="shared" si="3"/>
        <v>0</v>
      </c>
      <c r="AO5" s="67">
        <f t="shared" si="4"/>
        <v>0</v>
      </c>
      <c r="AP5" s="67">
        <f t="shared" si="5"/>
        <v>0</v>
      </c>
      <c r="AQ5" s="67">
        <f t="shared" si="6"/>
        <v>0</v>
      </c>
      <c r="AR5" s="67">
        <f t="shared" si="7"/>
        <v>0</v>
      </c>
      <c r="AS5" s="67">
        <f t="shared" si="8"/>
        <v>0</v>
      </c>
      <c r="AT5" s="67">
        <f t="shared" si="9"/>
        <v>0</v>
      </c>
      <c r="AU5" s="67">
        <f t="shared" si="10"/>
        <v>0</v>
      </c>
      <c r="AV5" s="67">
        <f t="shared" si="11"/>
        <v>0</v>
      </c>
      <c r="AW5" s="87">
        <f t="shared" si="12"/>
        <v>0</v>
      </c>
      <c r="AY5" s="90">
        <v>2</v>
      </c>
      <c r="AZ5" s="90" t="s">
        <v>8</v>
      </c>
      <c r="BA5" s="90">
        <f>AM5</f>
        <v>0</v>
      </c>
      <c r="BB5" s="90">
        <f>AM7+AM9</f>
        <v>0</v>
      </c>
      <c r="BC5" s="89" t="e">
        <f t="shared" si="13"/>
        <v>#DIV/0!</v>
      </c>
      <c r="BF5" s="112"/>
      <c r="BG5" s="112"/>
      <c r="BH5" s="113"/>
      <c r="BI5" s="114"/>
    </row>
    <row r="6" spans="1:61" ht="21">
      <c r="A6" s="55" t="s">
        <v>23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63">
        <f t="shared" si="0"/>
        <v>0</v>
      </c>
      <c r="AH6" s="63"/>
      <c r="AI6" s="63">
        <f t="shared" si="14"/>
        <v>0</v>
      </c>
      <c r="AK6" s="68" t="s">
        <v>22</v>
      </c>
      <c r="AL6" s="69">
        <f t="shared" si="1"/>
        <v>0</v>
      </c>
      <c r="AM6" s="69">
        <f t="shared" si="2"/>
        <v>0</v>
      </c>
      <c r="AN6" s="69">
        <f t="shared" si="3"/>
        <v>0</v>
      </c>
      <c r="AO6" s="69">
        <f t="shared" si="4"/>
        <v>0</v>
      </c>
      <c r="AP6" s="69">
        <f t="shared" si="5"/>
        <v>0</v>
      </c>
      <c r="AQ6" s="69">
        <f t="shared" si="6"/>
        <v>0</v>
      </c>
      <c r="AR6" s="69">
        <f t="shared" si="7"/>
        <v>0</v>
      </c>
      <c r="AS6" s="69">
        <f t="shared" si="8"/>
        <v>0</v>
      </c>
      <c r="AT6" s="69">
        <f t="shared" si="9"/>
        <v>0</v>
      </c>
      <c r="AU6" s="69">
        <f t="shared" si="10"/>
        <v>0</v>
      </c>
      <c r="AV6" s="69">
        <f t="shared" si="11"/>
        <v>0</v>
      </c>
      <c r="AW6" s="91">
        <f t="shared" si="12"/>
        <v>0</v>
      </c>
      <c r="AY6" s="90">
        <v>3</v>
      </c>
      <c r="AZ6" s="90" t="s">
        <v>9</v>
      </c>
      <c r="BA6" s="90">
        <f>AN5</f>
        <v>0</v>
      </c>
      <c r="BB6" s="90">
        <f>AN7+AN9</f>
        <v>0</v>
      </c>
      <c r="BC6" s="89" t="e">
        <f t="shared" si="13"/>
        <v>#DIV/0!</v>
      </c>
      <c r="BF6" s="112"/>
      <c r="BG6" s="112"/>
      <c r="BH6" s="113"/>
      <c r="BI6" s="112"/>
    </row>
    <row r="7" spans="1:61" ht="21">
      <c r="A7" s="55" t="s">
        <v>24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63">
        <f t="shared" si="0"/>
        <v>0</v>
      </c>
      <c r="AH7" s="63"/>
      <c r="AI7" s="63">
        <f t="shared" si="14"/>
        <v>0</v>
      </c>
      <c r="AK7" s="68" t="s">
        <v>23</v>
      </c>
      <c r="AL7" s="69">
        <f t="shared" si="1"/>
        <v>0</v>
      </c>
      <c r="AM7" s="69">
        <f t="shared" si="2"/>
        <v>0</v>
      </c>
      <c r="AN7" s="69">
        <f t="shared" si="3"/>
        <v>0</v>
      </c>
      <c r="AO7" s="69">
        <f t="shared" si="4"/>
        <v>0</v>
      </c>
      <c r="AP7" s="69">
        <f t="shared" si="5"/>
        <v>0</v>
      </c>
      <c r="AQ7" s="69">
        <f t="shared" si="6"/>
        <v>0</v>
      </c>
      <c r="AR7" s="69">
        <f t="shared" si="7"/>
        <v>0</v>
      </c>
      <c r="AS7" s="69">
        <f t="shared" si="8"/>
        <v>0</v>
      </c>
      <c r="AT7" s="69">
        <f t="shared" si="9"/>
        <v>0</v>
      </c>
      <c r="AU7" s="69">
        <f t="shared" si="10"/>
        <v>0</v>
      </c>
      <c r="AV7" s="69">
        <f t="shared" si="11"/>
        <v>0</v>
      </c>
      <c r="AW7" s="91">
        <f t="shared" si="12"/>
        <v>0</v>
      </c>
      <c r="AY7" s="90">
        <v>4</v>
      </c>
      <c r="AZ7" s="90" t="s">
        <v>25</v>
      </c>
      <c r="BA7" s="90">
        <f>AO5</f>
        <v>0</v>
      </c>
      <c r="BB7" s="90">
        <f>AO7+AO9</f>
        <v>0</v>
      </c>
      <c r="BC7" s="89" t="e">
        <f t="shared" si="13"/>
        <v>#DIV/0!</v>
      </c>
      <c r="BF7" s="112"/>
      <c r="BG7" s="112"/>
      <c r="BH7" s="113"/>
      <c r="BI7" s="114"/>
    </row>
    <row r="8" spans="1:61" ht="21">
      <c r="A8" s="55" t="s">
        <v>26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63">
        <f t="shared" si="0"/>
        <v>0</v>
      </c>
      <c r="AH8" s="63"/>
      <c r="AI8" s="63">
        <f t="shared" si="14"/>
        <v>0</v>
      </c>
      <c r="AJ8" t="s">
        <v>27</v>
      </c>
      <c r="AK8" s="68" t="s">
        <v>24</v>
      </c>
      <c r="AL8" s="69">
        <f t="shared" si="1"/>
        <v>0</v>
      </c>
      <c r="AM8" s="69">
        <f t="shared" si="2"/>
        <v>0</v>
      </c>
      <c r="AN8" s="69">
        <f t="shared" si="3"/>
        <v>0</v>
      </c>
      <c r="AO8" s="69">
        <f t="shared" si="4"/>
        <v>0</v>
      </c>
      <c r="AP8" s="69">
        <f t="shared" si="5"/>
        <v>0</v>
      </c>
      <c r="AQ8" s="69">
        <f t="shared" si="6"/>
        <v>0</v>
      </c>
      <c r="AR8" s="69">
        <f t="shared" si="7"/>
        <v>0</v>
      </c>
      <c r="AS8" s="69">
        <f t="shared" si="8"/>
        <v>0</v>
      </c>
      <c r="AT8" s="69">
        <f t="shared" si="9"/>
        <v>0</v>
      </c>
      <c r="AU8" s="69">
        <f t="shared" si="10"/>
        <v>0</v>
      </c>
      <c r="AV8" s="69">
        <f t="shared" si="11"/>
        <v>0</v>
      </c>
      <c r="AW8" s="91">
        <f t="shared" si="12"/>
        <v>0</v>
      </c>
      <c r="AY8" s="90">
        <v>5</v>
      </c>
      <c r="AZ8" s="90" t="s">
        <v>11</v>
      </c>
      <c r="BA8" s="90">
        <f>AP5</f>
        <v>0</v>
      </c>
      <c r="BB8" s="90">
        <f>AP7+AP9</f>
        <v>0</v>
      </c>
      <c r="BC8" s="89" t="e">
        <f t="shared" si="13"/>
        <v>#DIV/0!</v>
      </c>
      <c r="BF8" s="112"/>
      <c r="BG8" s="112"/>
      <c r="BH8" s="113"/>
      <c r="BI8" s="114"/>
    </row>
    <row r="9" spans="1:61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4"/>
        <v>0</v>
      </c>
      <c r="AK9" s="68" t="s">
        <v>26</v>
      </c>
      <c r="AL9" s="69">
        <f t="shared" si="1"/>
        <v>0</v>
      </c>
      <c r="AM9" s="69">
        <f t="shared" si="2"/>
        <v>0</v>
      </c>
      <c r="AN9" s="69">
        <f t="shared" si="3"/>
        <v>0</v>
      </c>
      <c r="AO9" s="69">
        <f t="shared" si="4"/>
        <v>0</v>
      </c>
      <c r="AP9" s="69">
        <f t="shared" si="5"/>
        <v>0</v>
      </c>
      <c r="AQ9" s="69">
        <f t="shared" si="6"/>
        <v>0</v>
      </c>
      <c r="AR9" s="69">
        <f t="shared" si="7"/>
        <v>0</v>
      </c>
      <c r="AS9" s="69">
        <f t="shared" si="8"/>
        <v>0</v>
      </c>
      <c r="AT9" s="69">
        <f t="shared" si="9"/>
        <v>0</v>
      </c>
      <c r="AU9" s="69">
        <f t="shared" si="10"/>
        <v>0</v>
      </c>
      <c r="AV9" s="69">
        <f t="shared" si="11"/>
        <v>0</v>
      </c>
      <c r="AW9" s="91">
        <f t="shared" si="12"/>
        <v>0</v>
      </c>
      <c r="AY9" s="90">
        <v>6</v>
      </c>
      <c r="AZ9" s="90" t="s">
        <v>12</v>
      </c>
      <c r="BA9" s="90">
        <f>AQ5</f>
        <v>0</v>
      </c>
      <c r="BB9" s="90">
        <f>AQ7+AQ9</f>
        <v>0</v>
      </c>
      <c r="BC9" s="89" t="e">
        <f t="shared" si="13"/>
        <v>#DIV/0!</v>
      </c>
      <c r="BF9" s="112"/>
      <c r="BG9" s="112"/>
      <c r="BH9" s="113"/>
      <c r="BI9" s="112"/>
    </row>
    <row r="10" spans="1:61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4"/>
        <v>0</v>
      </c>
      <c r="AK10" s="66" t="s">
        <v>28</v>
      </c>
      <c r="AL10" s="67">
        <f t="shared" si="1"/>
        <v>0</v>
      </c>
      <c r="AM10" s="67">
        <f t="shared" si="2"/>
        <v>0</v>
      </c>
      <c r="AN10" s="67">
        <f t="shared" si="3"/>
        <v>0</v>
      </c>
      <c r="AO10" s="67">
        <f t="shared" si="4"/>
        <v>0</v>
      </c>
      <c r="AP10" s="67">
        <f t="shared" si="5"/>
        <v>0</v>
      </c>
      <c r="AQ10" s="67">
        <f t="shared" si="6"/>
        <v>0</v>
      </c>
      <c r="AR10" s="67">
        <f t="shared" si="7"/>
        <v>0</v>
      </c>
      <c r="AS10" s="67">
        <f t="shared" si="8"/>
        <v>0</v>
      </c>
      <c r="AT10" s="67">
        <f t="shared" si="9"/>
        <v>0</v>
      </c>
      <c r="AU10" s="67">
        <f t="shared" si="10"/>
        <v>0</v>
      </c>
      <c r="AV10" s="67">
        <f t="shared" si="11"/>
        <v>0</v>
      </c>
      <c r="AW10" s="87">
        <f t="shared" si="12"/>
        <v>0</v>
      </c>
      <c r="AY10" s="90">
        <v>7</v>
      </c>
      <c r="AZ10" s="90" t="s">
        <v>30</v>
      </c>
      <c r="BA10" s="90">
        <f>AR5</f>
        <v>0</v>
      </c>
      <c r="BB10" s="90">
        <f>AR7+AR9</f>
        <v>0</v>
      </c>
      <c r="BC10" s="89" t="e">
        <f t="shared" si="13"/>
        <v>#DIV/0!</v>
      </c>
      <c r="BF10" s="112"/>
      <c r="BG10" s="112"/>
      <c r="BH10" s="113"/>
      <c r="BI10" s="112"/>
    </row>
    <row r="11" spans="1:61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4"/>
        <v>0</v>
      </c>
      <c r="AK11" s="66" t="s">
        <v>29</v>
      </c>
      <c r="AL11" s="72">
        <f t="shared" si="1"/>
        <v>0</v>
      </c>
      <c r="AM11" s="72">
        <f t="shared" si="2"/>
        <v>0</v>
      </c>
      <c r="AN11" s="72">
        <f t="shared" si="3"/>
        <v>0</v>
      </c>
      <c r="AO11" s="72">
        <f t="shared" si="4"/>
        <v>0</v>
      </c>
      <c r="AP11" s="72">
        <f t="shared" si="5"/>
        <v>0</v>
      </c>
      <c r="AQ11" s="72">
        <f t="shared" si="6"/>
        <v>0</v>
      </c>
      <c r="AR11" s="72">
        <f t="shared" si="7"/>
        <v>0</v>
      </c>
      <c r="AS11" s="72">
        <f t="shared" si="8"/>
        <v>0</v>
      </c>
      <c r="AT11" s="72">
        <f t="shared" si="9"/>
        <v>0</v>
      </c>
      <c r="AU11" s="72">
        <f t="shared" si="10"/>
        <v>0</v>
      </c>
      <c r="AV11" s="72">
        <f t="shared" si="11"/>
        <v>0</v>
      </c>
      <c r="AW11" s="92">
        <f t="shared" si="12"/>
        <v>0</v>
      </c>
      <c r="AY11" s="90">
        <v>8</v>
      </c>
      <c r="AZ11" s="90" t="s">
        <v>65</v>
      </c>
      <c r="BA11" s="90">
        <f>AS5</f>
        <v>0</v>
      </c>
      <c r="BB11" s="90">
        <f>AS7+AS9</f>
        <v>0</v>
      </c>
      <c r="BC11" s="89" t="e">
        <f t="shared" si="13"/>
        <v>#DIV/0!</v>
      </c>
      <c r="BF11" s="112"/>
      <c r="BG11" s="112"/>
      <c r="BH11" s="113"/>
      <c r="BI11" s="112"/>
    </row>
    <row r="12" spans="1:61" ht="23.25">
      <c r="A12" s="250" t="s">
        <v>32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"/>
        <v>0</v>
      </c>
      <c r="AM12" s="72">
        <f t="shared" si="2"/>
        <v>0</v>
      </c>
      <c r="AN12" s="72">
        <f t="shared" si="3"/>
        <v>0</v>
      </c>
      <c r="AO12" s="72">
        <f t="shared" si="4"/>
        <v>0</v>
      </c>
      <c r="AP12" s="72">
        <f t="shared" si="5"/>
        <v>0</v>
      </c>
      <c r="AQ12" s="72">
        <f t="shared" si="6"/>
        <v>0</v>
      </c>
      <c r="AR12" s="72">
        <f t="shared" si="7"/>
        <v>0</v>
      </c>
      <c r="AS12" s="72">
        <f t="shared" si="8"/>
        <v>0</v>
      </c>
      <c r="AT12" s="72">
        <f t="shared" si="9"/>
        <v>0</v>
      </c>
      <c r="AU12" s="72">
        <f t="shared" si="10"/>
        <v>0</v>
      </c>
      <c r="AV12" s="72">
        <f t="shared" si="11"/>
        <v>0</v>
      </c>
      <c r="AW12" s="92">
        <f t="shared" si="12"/>
        <v>0</v>
      </c>
      <c r="AY12" s="90">
        <v>9</v>
      </c>
      <c r="AZ12" s="90" t="s">
        <v>64</v>
      </c>
      <c r="BA12" s="90">
        <f>AT5</f>
        <v>0</v>
      </c>
      <c r="BB12" s="90">
        <f>AT7+AT9</f>
        <v>0</v>
      </c>
      <c r="BC12" s="89" t="e">
        <f t="shared" si="13"/>
        <v>#DIV/0!</v>
      </c>
      <c r="BF12" s="112"/>
      <c r="BG12" s="112"/>
      <c r="BH12" s="113"/>
      <c r="BI12" s="114"/>
    </row>
    <row r="13" spans="1:61" ht="21">
      <c r="A13" s="53"/>
      <c r="B13" s="54">
        <v>45689</v>
      </c>
      <c r="C13" s="54">
        <v>45690</v>
      </c>
      <c r="D13" s="54">
        <v>45691</v>
      </c>
      <c r="E13" s="54">
        <v>45692</v>
      </c>
      <c r="F13" s="54">
        <v>45693</v>
      </c>
      <c r="G13" s="54">
        <v>45694</v>
      </c>
      <c r="H13" s="54">
        <v>45695</v>
      </c>
      <c r="I13" s="54">
        <v>45696</v>
      </c>
      <c r="J13" s="54">
        <v>45697</v>
      </c>
      <c r="K13" s="54">
        <v>45698</v>
      </c>
      <c r="L13" s="54">
        <v>45699</v>
      </c>
      <c r="M13" s="54">
        <v>45700</v>
      </c>
      <c r="N13" s="54">
        <v>45701</v>
      </c>
      <c r="O13" s="54">
        <v>45702</v>
      </c>
      <c r="P13" s="54">
        <v>45703</v>
      </c>
      <c r="Q13" s="54">
        <v>45704</v>
      </c>
      <c r="R13" s="54">
        <v>45705</v>
      </c>
      <c r="S13" s="54">
        <v>45706</v>
      </c>
      <c r="T13" s="54">
        <v>45707</v>
      </c>
      <c r="U13" s="54">
        <v>45708</v>
      </c>
      <c r="V13" s="54">
        <v>45709</v>
      </c>
      <c r="W13" s="54">
        <v>45710</v>
      </c>
      <c r="X13" s="54">
        <v>45711</v>
      </c>
      <c r="Y13" s="54">
        <v>45712</v>
      </c>
      <c r="Z13" s="54">
        <v>45713</v>
      </c>
      <c r="AA13" s="54">
        <v>45714</v>
      </c>
      <c r="AB13" s="54">
        <v>45715</v>
      </c>
      <c r="AC13" s="54">
        <v>45716</v>
      </c>
      <c r="AD13" s="54"/>
      <c r="AE13" s="54"/>
      <c r="AF13" s="54">
        <v>45657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 t="shared" ref="AL13:AW13" si="15">AL7+AL9</f>
        <v>0</v>
      </c>
      <c r="AM13" s="74">
        <f t="shared" si="15"/>
        <v>0</v>
      </c>
      <c r="AN13" s="74">
        <f t="shared" si="15"/>
        <v>0</v>
      </c>
      <c r="AO13" s="74">
        <f t="shared" si="15"/>
        <v>0</v>
      </c>
      <c r="AP13" s="74">
        <f t="shared" si="15"/>
        <v>0</v>
      </c>
      <c r="AQ13" s="74">
        <f t="shared" si="15"/>
        <v>0</v>
      </c>
      <c r="AR13" s="74">
        <f t="shared" si="15"/>
        <v>0</v>
      </c>
      <c r="AS13" s="74">
        <f t="shared" si="15"/>
        <v>0</v>
      </c>
      <c r="AT13" s="74">
        <f t="shared" si="15"/>
        <v>0</v>
      </c>
      <c r="AU13" s="74">
        <f t="shared" si="15"/>
        <v>0</v>
      </c>
      <c r="AV13" s="74">
        <f t="shared" si="15"/>
        <v>0</v>
      </c>
      <c r="AW13" s="93">
        <f t="shared" si="15"/>
        <v>0</v>
      </c>
      <c r="AY13" s="90">
        <v>10</v>
      </c>
      <c r="AZ13" s="90" t="s">
        <v>14</v>
      </c>
      <c r="BA13" s="90">
        <f>AU5</f>
        <v>0</v>
      </c>
      <c r="BB13" s="90">
        <f>AU7+AU9</f>
        <v>0</v>
      </c>
      <c r="BC13" s="89" t="e">
        <f t="shared" si="13"/>
        <v>#DIV/0!</v>
      </c>
      <c r="BF13" s="112"/>
      <c r="BG13" s="112"/>
      <c r="BH13" s="113"/>
      <c r="BI13" s="114"/>
    </row>
    <row r="14" spans="1:61" ht="21">
      <c r="A14" s="55" t="s">
        <v>5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63">
        <f t="shared" ref="AG14:AG22" si="16">SUM(B14:AF14)</f>
        <v>0</v>
      </c>
      <c r="AH14" s="63"/>
      <c r="AI14" s="63">
        <f>AG14</f>
        <v>0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Y14" s="90">
        <v>11</v>
      </c>
      <c r="AZ14" s="90" t="s">
        <v>15</v>
      </c>
      <c r="BA14" s="90">
        <f>AV5</f>
        <v>0</v>
      </c>
      <c r="BB14" s="90">
        <f>AV7+AV9</f>
        <v>0</v>
      </c>
      <c r="BC14" s="89" t="e">
        <f t="shared" si="13"/>
        <v>#DIV/0!</v>
      </c>
      <c r="BF14" s="112"/>
      <c r="BG14" s="112"/>
      <c r="BH14" s="113"/>
      <c r="BI14" s="114"/>
    </row>
    <row r="15" spans="1:61" ht="21.75" thickBot="1">
      <c r="A15" s="55" t="s">
        <v>21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63">
        <f t="shared" si="16"/>
        <v>0</v>
      </c>
      <c r="AH15" s="63"/>
      <c r="AI15" s="63">
        <f>AG15+AH17+AH18+AH19</f>
        <v>0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Y15" s="63"/>
      <c r="AZ15" s="63"/>
      <c r="BA15" s="63"/>
      <c r="BB15" s="63"/>
      <c r="BC15" s="63"/>
      <c r="BF15" s="112"/>
      <c r="BG15" s="112"/>
      <c r="BH15" s="113"/>
      <c r="BI15" s="112"/>
    </row>
    <row r="16" spans="1:61" ht="18.75" customHeight="1">
      <c r="A16" s="55" t="s">
        <v>22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63">
        <f t="shared" si="16"/>
        <v>0</v>
      </c>
      <c r="AH16" s="63"/>
      <c r="AI16" s="63">
        <f>AG16+AH17+AH18+AH19</f>
        <v>0</v>
      </c>
      <c r="AK16" s="265" t="s">
        <v>39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Y16" s="94" t="s">
        <v>35</v>
      </c>
      <c r="AZ16" s="95" t="s">
        <v>36</v>
      </c>
      <c r="BA16" s="95" t="s">
        <v>2</v>
      </c>
      <c r="BB16" s="95" t="s">
        <v>37</v>
      </c>
      <c r="BC16" s="96" t="s">
        <v>38</v>
      </c>
      <c r="BF16" s="112"/>
      <c r="BG16" s="112"/>
      <c r="BH16" s="113"/>
      <c r="BI16" s="114"/>
    </row>
    <row r="17" spans="1:61" ht="18.75" customHeight="1">
      <c r="A17" s="55" t="s">
        <v>23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63">
        <f t="shared" si="16"/>
        <v>0</v>
      </c>
      <c r="AH17" s="63"/>
      <c r="AI17" s="63">
        <f t="shared" ref="AI17:AI22" si="17">AG17-AH17</f>
        <v>0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70"/>
      <c r="AY17" s="97">
        <v>100</v>
      </c>
      <c r="AZ17" s="98">
        <v>0.02</v>
      </c>
      <c r="BA17" s="63">
        <f t="shared" ref="BA17:BA26" si="18">AY17*AZ17</f>
        <v>2</v>
      </c>
      <c r="BB17" s="63">
        <v>1</v>
      </c>
      <c r="BC17" s="99">
        <f t="shared" ref="BC17:BC26" si="19">BA17-BB17</f>
        <v>1</v>
      </c>
      <c r="BF17" s="112"/>
      <c r="BG17" s="112"/>
      <c r="BH17" s="113"/>
      <c r="BI17" s="112"/>
    </row>
    <row r="18" spans="1:61" ht="23.25">
      <c r="A18" s="55" t="s">
        <v>24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63">
        <f t="shared" si="16"/>
        <v>0</v>
      </c>
      <c r="AH18" s="63"/>
      <c r="AI18" s="63">
        <f t="shared" si="17"/>
        <v>0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76" t="s">
        <v>12</v>
      </c>
      <c r="AR18" s="76" t="s">
        <v>13</v>
      </c>
      <c r="AS18" s="76" t="s">
        <v>63</v>
      </c>
      <c r="AT18" s="76" t="s">
        <v>64</v>
      </c>
      <c r="AU18" s="76" t="s">
        <v>14</v>
      </c>
      <c r="AV18" s="76" t="s">
        <v>15</v>
      </c>
      <c r="AW18" s="100" t="s">
        <v>2</v>
      </c>
      <c r="AY18" s="97">
        <v>200</v>
      </c>
      <c r="AZ18" s="98">
        <v>0.02</v>
      </c>
      <c r="BA18" s="63">
        <f t="shared" si="18"/>
        <v>4</v>
      </c>
      <c r="BB18" s="63">
        <v>1</v>
      </c>
      <c r="BC18" s="99">
        <f t="shared" si="19"/>
        <v>3</v>
      </c>
      <c r="BF18" s="115"/>
      <c r="BG18" s="115"/>
      <c r="BH18" s="115"/>
      <c r="BI18" s="112"/>
    </row>
    <row r="19" spans="1:61" ht="23.25">
      <c r="A19" s="55" t="s">
        <v>26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63">
        <f t="shared" si="16"/>
        <v>0</v>
      </c>
      <c r="AH19" s="63"/>
      <c r="AI19" s="63">
        <f t="shared" si="17"/>
        <v>0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101"/>
      <c r="AY19" s="97">
        <v>300</v>
      </c>
      <c r="AZ19" s="98">
        <v>0.02</v>
      </c>
      <c r="BA19" s="63">
        <f t="shared" si="18"/>
        <v>6</v>
      </c>
      <c r="BB19" s="63">
        <v>1</v>
      </c>
      <c r="BC19" s="99">
        <f t="shared" si="19"/>
        <v>5</v>
      </c>
      <c r="BF19" s="112"/>
      <c r="BG19" s="112"/>
      <c r="BH19" s="113"/>
      <c r="BI19" s="116"/>
    </row>
    <row r="20" spans="1:61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6"/>
        <v>0</v>
      </c>
      <c r="AH20" s="70"/>
      <c r="AI20" s="63">
        <f t="shared" si="17"/>
        <v>0</v>
      </c>
      <c r="AK20" s="77" t="s">
        <v>40</v>
      </c>
      <c r="AL20" s="79" t="e">
        <f t="shared" ref="AL20:AW20" si="20">+AL5/AL4</f>
        <v>#DIV/0!</v>
      </c>
      <c r="AM20" s="79" t="e">
        <f t="shared" si="20"/>
        <v>#DIV/0!</v>
      </c>
      <c r="AN20" s="79" t="e">
        <f t="shared" si="20"/>
        <v>#DIV/0!</v>
      </c>
      <c r="AO20" s="79" t="e">
        <f t="shared" si="20"/>
        <v>#DIV/0!</v>
      </c>
      <c r="AP20" s="79" t="e">
        <f t="shared" si="20"/>
        <v>#DIV/0!</v>
      </c>
      <c r="AQ20" s="79" t="e">
        <f t="shared" si="20"/>
        <v>#DIV/0!</v>
      </c>
      <c r="AR20" s="79" t="e">
        <f t="shared" si="20"/>
        <v>#DIV/0!</v>
      </c>
      <c r="AS20" s="79" t="e">
        <f t="shared" si="20"/>
        <v>#DIV/0!</v>
      </c>
      <c r="AT20" s="79" t="e">
        <f t="shared" si="20"/>
        <v>#DIV/0!</v>
      </c>
      <c r="AU20" s="79" t="e">
        <f t="shared" si="20"/>
        <v>#DIV/0!</v>
      </c>
      <c r="AV20" s="79" t="e">
        <f t="shared" si="20"/>
        <v>#DIV/0!</v>
      </c>
      <c r="AW20" s="102" t="e">
        <f t="shared" si="20"/>
        <v>#DIV/0!</v>
      </c>
      <c r="AY20" s="97">
        <v>400</v>
      </c>
      <c r="AZ20" s="98">
        <v>0.02</v>
      </c>
      <c r="BA20" s="63">
        <f t="shared" si="18"/>
        <v>8</v>
      </c>
      <c r="BB20" s="63">
        <v>1</v>
      </c>
      <c r="BC20" s="99">
        <f t="shared" si="19"/>
        <v>7</v>
      </c>
      <c r="BF20" s="112"/>
      <c r="BG20" s="112"/>
      <c r="BH20" s="113"/>
      <c r="BI20" s="116"/>
    </row>
    <row r="21" spans="1:61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6"/>
        <v>0</v>
      </c>
      <c r="AH21" s="71"/>
      <c r="AI21" s="63">
        <f t="shared" si="17"/>
        <v>0</v>
      </c>
      <c r="AK21" s="77" t="s">
        <v>41</v>
      </c>
      <c r="AL21" s="79" t="e">
        <f t="shared" ref="AL21:AW21" si="21">+AL6/AL5</f>
        <v>#DIV/0!</v>
      </c>
      <c r="AM21" s="79" t="e">
        <f t="shared" si="21"/>
        <v>#DIV/0!</v>
      </c>
      <c r="AN21" s="79" t="e">
        <f t="shared" si="21"/>
        <v>#DIV/0!</v>
      </c>
      <c r="AO21" s="79" t="e">
        <f t="shared" si="21"/>
        <v>#DIV/0!</v>
      </c>
      <c r="AP21" s="79" t="e">
        <f t="shared" si="21"/>
        <v>#DIV/0!</v>
      </c>
      <c r="AQ21" s="79" t="e">
        <f t="shared" si="21"/>
        <v>#DIV/0!</v>
      </c>
      <c r="AR21" s="79" t="e">
        <f t="shared" si="21"/>
        <v>#DIV/0!</v>
      </c>
      <c r="AS21" s="79" t="e">
        <f t="shared" si="21"/>
        <v>#DIV/0!</v>
      </c>
      <c r="AT21" s="79" t="e">
        <f t="shared" si="21"/>
        <v>#DIV/0!</v>
      </c>
      <c r="AU21" s="79" t="e">
        <f t="shared" si="21"/>
        <v>#DIV/0!</v>
      </c>
      <c r="AV21" s="79" t="e">
        <f t="shared" si="21"/>
        <v>#DIV/0!</v>
      </c>
      <c r="AW21" s="102" t="e">
        <f t="shared" si="21"/>
        <v>#DIV/0!</v>
      </c>
      <c r="AY21" s="97">
        <v>500</v>
      </c>
      <c r="AZ21" s="98">
        <v>0.02</v>
      </c>
      <c r="BA21" s="63">
        <f t="shared" si="18"/>
        <v>10</v>
      </c>
      <c r="BB21" s="63">
        <v>1</v>
      </c>
      <c r="BC21" s="99">
        <f t="shared" si="19"/>
        <v>9</v>
      </c>
      <c r="BF21" s="112"/>
      <c r="BG21" s="112"/>
      <c r="BH21" s="113"/>
      <c r="BI21" s="116"/>
    </row>
    <row r="22" spans="1:61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6"/>
        <v>0</v>
      </c>
      <c r="AH22" s="63"/>
      <c r="AI22" s="63">
        <f t="shared" si="17"/>
        <v>0</v>
      </c>
      <c r="AK22" s="77" t="s">
        <v>23</v>
      </c>
      <c r="AL22" s="79" t="e">
        <f t="shared" ref="AL22:AS22" si="22">AL7/AL5</f>
        <v>#DIV/0!</v>
      </c>
      <c r="AM22" s="79" t="e">
        <f t="shared" si="22"/>
        <v>#DIV/0!</v>
      </c>
      <c r="AN22" s="79" t="e">
        <f t="shared" si="22"/>
        <v>#DIV/0!</v>
      </c>
      <c r="AO22" s="79" t="e">
        <f t="shared" si="22"/>
        <v>#DIV/0!</v>
      </c>
      <c r="AP22" s="79" t="e">
        <f t="shared" si="22"/>
        <v>#DIV/0!</v>
      </c>
      <c r="AQ22" s="79" t="e">
        <f t="shared" si="22"/>
        <v>#DIV/0!</v>
      </c>
      <c r="AR22" s="79" t="e">
        <f t="shared" si="22"/>
        <v>#DIV/0!</v>
      </c>
      <c r="AS22" s="79" t="e">
        <f t="shared" si="22"/>
        <v>#DIV/0!</v>
      </c>
      <c r="AT22" s="79" t="e">
        <f t="shared" ref="AT22:AT28" si="23">+AT7/AT6</f>
        <v>#DIV/0!</v>
      </c>
      <c r="AU22" s="79" t="e">
        <f>AU7/AU5</f>
        <v>#DIV/0!</v>
      </c>
      <c r="AV22" s="79" t="e">
        <f>AV7/AV5</f>
        <v>#DIV/0!</v>
      </c>
      <c r="AW22" s="102" t="e">
        <f>AW7/AW5</f>
        <v>#DIV/0!</v>
      </c>
      <c r="AY22" s="97">
        <v>600</v>
      </c>
      <c r="AZ22" s="98">
        <v>0.02</v>
      </c>
      <c r="BA22" s="63">
        <f t="shared" si="18"/>
        <v>12</v>
      </c>
      <c r="BB22" s="63">
        <v>1</v>
      </c>
      <c r="BC22" s="99">
        <f t="shared" si="19"/>
        <v>11</v>
      </c>
      <c r="BF22" s="112"/>
      <c r="BG22" s="112"/>
      <c r="BH22" s="113"/>
      <c r="BI22" s="116"/>
    </row>
    <row r="23" spans="1:61" s="2" customFormat="1" ht="23.25">
      <c r="A23" s="250" t="s">
        <v>42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 t="e">
        <f t="shared" ref="AL23:AS23" si="24">AL8/AL5</f>
        <v>#DIV/0!</v>
      </c>
      <c r="AM23" s="79" t="e">
        <f t="shared" si="24"/>
        <v>#DIV/0!</v>
      </c>
      <c r="AN23" s="79" t="e">
        <f t="shared" si="24"/>
        <v>#DIV/0!</v>
      </c>
      <c r="AO23" s="79" t="e">
        <f t="shared" si="24"/>
        <v>#DIV/0!</v>
      </c>
      <c r="AP23" s="79" t="e">
        <f t="shared" si="24"/>
        <v>#DIV/0!</v>
      </c>
      <c r="AQ23" s="79" t="e">
        <f t="shared" si="24"/>
        <v>#DIV/0!</v>
      </c>
      <c r="AR23" s="79" t="e">
        <f t="shared" si="24"/>
        <v>#DIV/0!</v>
      </c>
      <c r="AS23" s="79" t="e">
        <f t="shared" si="24"/>
        <v>#DIV/0!</v>
      </c>
      <c r="AT23" s="79" t="e">
        <f t="shared" si="23"/>
        <v>#DIV/0!</v>
      </c>
      <c r="AU23" s="79" t="e">
        <f>AU8/AU5</f>
        <v>#DIV/0!</v>
      </c>
      <c r="AV23" s="79" t="e">
        <f>AV8/AV5</f>
        <v>#DIV/0!</v>
      </c>
      <c r="AW23" s="102" t="e">
        <f>AW8/AW5</f>
        <v>#DIV/0!</v>
      </c>
      <c r="AY23" s="97">
        <v>700</v>
      </c>
      <c r="AZ23" s="98">
        <v>0.02</v>
      </c>
      <c r="BA23" s="63">
        <f t="shared" si="18"/>
        <v>14</v>
      </c>
      <c r="BB23" s="63">
        <v>1</v>
      </c>
      <c r="BC23" s="99">
        <f t="shared" si="19"/>
        <v>13</v>
      </c>
      <c r="BF23" s="112"/>
      <c r="BG23" s="112"/>
      <c r="BH23" s="113"/>
      <c r="BI23" s="112"/>
    </row>
    <row r="24" spans="1:61" ht="23.25">
      <c r="A24" s="53"/>
      <c r="B24" s="54">
        <v>45689</v>
      </c>
      <c r="C24" s="54">
        <v>45690</v>
      </c>
      <c r="D24" s="54">
        <v>45691</v>
      </c>
      <c r="E24" s="54">
        <v>45692</v>
      </c>
      <c r="F24" s="54">
        <v>45693</v>
      </c>
      <c r="G24" s="54">
        <v>45694</v>
      </c>
      <c r="H24" s="54">
        <v>45695</v>
      </c>
      <c r="I24" s="54">
        <v>45696</v>
      </c>
      <c r="J24" s="54">
        <v>45697</v>
      </c>
      <c r="K24" s="54">
        <v>45698</v>
      </c>
      <c r="L24" s="54">
        <v>45699</v>
      </c>
      <c r="M24" s="54">
        <v>45700</v>
      </c>
      <c r="N24" s="54">
        <v>45701</v>
      </c>
      <c r="O24" s="54">
        <v>45702</v>
      </c>
      <c r="P24" s="54">
        <v>45703</v>
      </c>
      <c r="Q24" s="54">
        <v>45704</v>
      </c>
      <c r="R24" s="54">
        <v>45705</v>
      </c>
      <c r="S24" s="54">
        <v>45706</v>
      </c>
      <c r="T24" s="54">
        <v>45707</v>
      </c>
      <c r="U24" s="54">
        <v>45708</v>
      </c>
      <c r="V24" s="54">
        <v>45709</v>
      </c>
      <c r="W24" s="54">
        <v>45710</v>
      </c>
      <c r="X24" s="54">
        <v>45711</v>
      </c>
      <c r="Y24" s="54">
        <v>45712</v>
      </c>
      <c r="Z24" s="54">
        <v>45713</v>
      </c>
      <c r="AA24" s="54">
        <v>45714</v>
      </c>
      <c r="AB24" s="54">
        <v>45715</v>
      </c>
      <c r="AC24" s="54">
        <v>45716</v>
      </c>
      <c r="AD24" s="54"/>
      <c r="AE24" s="54"/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79" t="e">
        <f t="shared" ref="AL24:AS28" si="25">AL9/AL5</f>
        <v>#DIV/0!</v>
      </c>
      <c r="AM24" s="79" t="e">
        <f t="shared" si="25"/>
        <v>#DIV/0!</v>
      </c>
      <c r="AN24" s="79" t="e">
        <f t="shared" si="25"/>
        <v>#DIV/0!</v>
      </c>
      <c r="AO24" s="79" t="e">
        <f t="shared" si="25"/>
        <v>#DIV/0!</v>
      </c>
      <c r="AP24" s="79" t="e">
        <f t="shared" si="25"/>
        <v>#DIV/0!</v>
      </c>
      <c r="AQ24" s="79" t="e">
        <f t="shared" si="25"/>
        <v>#DIV/0!</v>
      </c>
      <c r="AR24" s="79" t="e">
        <f t="shared" si="25"/>
        <v>#DIV/0!</v>
      </c>
      <c r="AS24" s="79" t="e">
        <f t="shared" si="25"/>
        <v>#DIV/0!</v>
      </c>
      <c r="AT24" s="79" t="e">
        <f t="shared" si="23"/>
        <v>#DIV/0!</v>
      </c>
      <c r="AU24" s="79" t="e">
        <f t="shared" ref="AU24:AW28" si="26">AU9/AU5</f>
        <v>#DIV/0!</v>
      </c>
      <c r="AV24" s="79" t="e">
        <f t="shared" si="26"/>
        <v>#DIV/0!</v>
      </c>
      <c r="AW24" s="102" t="e">
        <f t="shared" si="26"/>
        <v>#DIV/0!</v>
      </c>
      <c r="AY24" s="97">
        <v>800</v>
      </c>
      <c r="AZ24" s="98">
        <v>0.02</v>
      </c>
      <c r="BA24" s="63">
        <f t="shared" si="18"/>
        <v>16</v>
      </c>
      <c r="BB24" s="63">
        <v>1</v>
      </c>
      <c r="BC24" s="99">
        <f t="shared" si="19"/>
        <v>15</v>
      </c>
      <c r="BF24" s="117"/>
      <c r="BG24" s="117"/>
      <c r="BH24" s="118"/>
      <c r="BI24" s="112"/>
    </row>
    <row r="25" spans="1:61" ht="23.25">
      <c r="A25" s="55" t="s">
        <v>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63">
        <f t="shared" ref="AG25:AG33" si="27">SUM(B25:AF25)</f>
        <v>0</v>
      </c>
      <c r="AH25" s="63"/>
      <c r="AI25" s="63">
        <f>AG25</f>
        <v>0</v>
      </c>
      <c r="AK25" s="77" t="s">
        <v>28</v>
      </c>
      <c r="AL25" s="79" t="e">
        <f t="shared" si="25"/>
        <v>#DIV/0!</v>
      </c>
      <c r="AM25" s="79" t="e">
        <f t="shared" si="25"/>
        <v>#DIV/0!</v>
      </c>
      <c r="AN25" s="79" t="e">
        <f t="shared" si="25"/>
        <v>#DIV/0!</v>
      </c>
      <c r="AO25" s="79" t="e">
        <f t="shared" si="25"/>
        <v>#DIV/0!</v>
      </c>
      <c r="AP25" s="79" t="e">
        <f t="shared" si="25"/>
        <v>#DIV/0!</v>
      </c>
      <c r="AQ25" s="79" t="e">
        <f t="shared" si="25"/>
        <v>#DIV/0!</v>
      </c>
      <c r="AR25" s="79" t="e">
        <f t="shared" si="25"/>
        <v>#DIV/0!</v>
      </c>
      <c r="AS25" s="79" t="e">
        <f t="shared" si="25"/>
        <v>#DIV/0!</v>
      </c>
      <c r="AT25" s="79" t="e">
        <f t="shared" si="23"/>
        <v>#DIV/0!</v>
      </c>
      <c r="AU25" s="79" t="e">
        <f t="shared" si="26"/>
        <v>#DIV/0!</v>
      </c>
      <c r="AV25" s="79" t="e">
        <f t="shared" si="26"/>
        <v>#DIV/0!</v>
      </c>
      <c r="AW25" s="102" t="e">
        <f t="shared" si="26"/>
        <v>#DIV/0!</v>
      </c>
      <c r="AY25" s="97">
        <v>900</v>
      </c>
      <c r="AZ25" s="98">
        <v>0.02</v>
      </c>
      <c r="BA25" s="63">
        <f t="shared" si="18"/>
        <v>18</v>
      </c>
      <c r="BB25" s="63">
        <v>1</v>
      </c>
      <c r="BC25" s="99">
        <f t="shared" si="19"/>
        <v>17</v>
      </c>
      <c r="BF25" s="117"/>
      <c r="BG25" s="117"/>
      <c r="BH25" s="118"/>
      <c r="BI25" s="114"/>
    </row>
    <row r="26" spans="1:61" ht="24" thickBot="1">
      <c r="A26" s="55" t="s">
        <v>21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63">
        <f t="shared" si="27"/>
        <v>0</v>
      </c>
      <c r="AH26" s="63"/>
      <c r="AI26" s="63">
        <f>AG26+AH28+AH29+AH30</f>
        <v>0</v>
      </c>
      <c r="AK26" s="77" t="s">
        <v>29</v>
      </c>
      <c r="AL26" s="79" t="e">
        <f t="shared" si="25"/>
        <v>#DIV/0!</v>
      </c>
      <c r="AM26" s="79" t="e">
        <f t="shared" si="25"/>
        <v>#DIV/0!</v>
      </c>
      <c r="AN26" s="79" t="e">
        <f t="shared" si="25"/>
        <v>#DIV/0!</v>
      </c>
      <c r="AO26" s="79" t="e">
        <f t="shared" si="25"/>
        <v>#DIV/0!</v>
      </c>
      <c r="AP26" s="79" t="e">
        <f t="shared" si="25"/>
        <v>#DIV/0!</v>
      </c>
      <c r="AQ26" s="79" t="e">
        <f t="shared" si="25"/>
        <v>#DIV/0!</v>
      </c>
      <c r="AR26" s="79" t="e">
        <f t="shared" si="25"/>
        <v>#DIV/0!</v>
      </c>
      <c r="AS26" s="79" t="e">
        <f t="shared" si="25"/>
        <v>#DIV/0!</v>
      </c>
      <c r="AT26" s="79" t="e">
        <f t="shared" si="23"/>
        <v>#DIV/0!</v>
      </c>
      <c r="AU26" s="79" t="e">
        <f t="shared" si="26"/>
        <v>#DIV/0!</v>
      </c>
      <c r="AV26" s="79" t="e">
        <f t="shared" si="26"/>
        <v>#DIV/0!</v>
      </c>
      <c r="AW26" s="102" t="e">
        <f t="shared" si="26"/>
        <v>#DIV/0!</v>
      </c>
      <c r="AY26" s="103">
        <v>1000</v>
      </c>
      <c r="AZ26" s="104">
        <v>0.02</v>
      </c>
      <c r="BA26" s="105">
        <f t="shared" si="18"/>
        <v>20</v>
      </c>
      <c r="BB26" s="105">
        <v>1</v>
      </c>
      <c r="BC26" s="106">
        <f t="shared" si="19"/>
        <v>19</v>
      </c>
      <c r="BF26" s="117"/>
      <c r="BG26" s="117"/>
      <c r="BH26" s="118"/>
      <c r="BI26" s="119"/>
    </row>
    <row r="27" spans="1:61" ht="24" thickBot="1">
      <c r="A27" s="55" t="s">
        <v>22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63">
        <f t="shared" si="27"/>
        <v>0</v>
      </c>
      <c r="AH27" s="63"/>
      <c r="AI27" s="63">
        <f>AG27+AH28+AH29+AH30</f>
        <v>0</v>
      </c>
      <c r="AK27" s="77" t="s">
        <v>31</v>
      </c>
      <c r="AL27" s="79" t="e">
        <f t="shared" si="25"/>
        <v>#DIV/0!</v>
      </c>
      <c r="AM27" s="79" t="e">
        <f t="shared" si="25"/>
        <v>#DIV/0!</v>
      </c>
      <c r="AN27" s="79" t="e">
        <f t="shared" si="25"/>
        <v>#DIV/0!</v>
      </c>
      <c r="AO27" s="79" t="e">
        <f t="shared" si="25"/>
        <v>#DIV/0!</v>
      </c>
      <c r="AP27" s="79" t="e">
        <f t="shared" si="25"/>
        <v>#DIV/0!</v>
      </c>
      <c r="AQ27" s="79" t="e">
        <f t="shared" si="25"/>
        <v>#DIV/0!</v>
      </c>
      <c r="AR27" s="79" t="e">
        <f t="shared" si="25"/>
        <v>#DIV/0!</v>
      </c>
      <c r="AS27" s="79" t="e">
        <f t="shared" si="25"/>
        <v>#DIV/0!</v>
      </c>
      <c r="AT27" s="79" t="e">
        <f t="shared" si="23"/>
        <v>#DIV/0!</v>
      </c>
      <c r="AU27" s="79" t="e">
        <f t="shared" si="26"/>
        <v>#DIV/0!</v>
      </c>
      <c r="AV27" s="79" t="e">
        <f t="shared" si="26"/>
        <v>#DIV/0!</v>
      </c>
      <c r="AW27" s="102" t="e">
        <f t="shared" si="26"/>
        <v>#DIV/0!</v>
      </c>
      <c r="AY27" s="63"/>
      <c r="AZ27" s="63"/>
      <c r="BA27" s="63"/>
      <c r="BB27" s="63"/>
      <c r="BC27" s="63"/>
      <c r="BF27" s="117"/>
      <c r="BG27" s="117"/>
      <c r="BH27" s="118"/>
      <c r="BI27" s="114"/>
    </row>
    <row r="28" spans="1:61" ht="24" thickBot="1">
      <c r="A28" s="55" t="s">
        <v>23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63">
        <f t="shared" si="27"/>
        <v>0</v>
      </c>
      <c r="AH28" s="63"/>
      <c r="AI28" s="63">
        <f t="shared" ref="AI28:AI33" si="28">AG28-AH28</f>
        <v>0</v>
      </c>
      <c r="AK28" s="80" t="s">
        <v>34</v>
      </c>
      <c r="AL28" s="81" t="e">
        <f t="shared" si="25"/>
        <v>#DIV/0!</v>
      </c>
      <c r="AM28" s="81" t="e">
        <f t="shared" si="25"/>
        <v>#DIV/0!</v>
      </c>
      <c r="AN28" s="81" t="e">
        <f t="shared" si="25"/>
        <v>#DIV/0!</v>
      </c>
      <c r="AO28" s="81" t="e">
        <f t="shared" si="25"/>
        <v>#DIV/0!</v>
      </c>
      <c r="AP28" s="81" t="e">
        <f t="shared" si="25"/>
        <v>#DIV/0!</v>
      </c>
      <c r="AQ28" s="81" t="e">
        <f t="shared" si="25"/>
        <v>#DIV/0!</v>
      </c>
      <c r="AR28" s="81" t="e">
        <f t="shared" si="25"/>
        <v>#DIV/0!</v>
      </c>
      <c r="AS28" s="81" t="e">
        <f t="shared" si="25"/>
        <v>#DIV/0!</v>
      </c>
      <c r="AT28" s="81" t="e">
        <f t="shared" si="23"/>
        <v>#DIV/0!</v>
      </c>
      <c r="AU28" s="81" t="e">
        <f t="shared" si="26"/>
        <v>#DIV/0!</v>
      </c>
      <c r="AV28" s="81" t="e">
        <f t="shared" si="26"/>
        <v>#DIV/0!</v>
      </c>
      <c r="AW28" s="107" t="e">
        <f t="shared" si="26"/>
        <v>#DIV/0!</v>
      </c>
      <c r="AY28" s="108" t="s">
        <v>44</v>
      </c>
      <c r="AZ28" s="271" t="s">
        <v>45</v>
      </c>
      <c r="BA28" s="272"/>
      <c r="BB28" s="63"/>
      <c r="BC28" s="63"/>
      <c r="BF28" s="112"/>
      <c r="BG28" s="112"/>
      <c r="BH28" s="113"/>
      <c r="BI28" s="112"/>
    </row>
    <row r="29" spans="1:61" ht="21">
      <c r="A29" s="55" t="s">
        <v>24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63">
        <f t="shared" si="27"/>
        <v>0</v>
      </c>
      <c r="AH29" s="63"/>
      <c r="AI29" s="63">
        <f t="shared" si="28"/>
        <v>0</v>
      </c>
      <c r="AR29" s="82"/>
      <c r="AS29" s="83"/>
      <c r="AT29" s="83"/>
      <c r="AU29" s="82"/>
      <c r="AV29" s="82"/>
      <c r="AY29" s="97" t="s">
        <v>46</v>
      </c>
      <c r="AZ29" s="273">
        <v>100</v>
      </c>
      <c r="BA29" s="274"/>
      <c r="BB29" s="109"/>
      <c r="BC29" s="109"/>
      <c r="BF29" s="112"/>
      <c r="BG29" s="112"/>
      <c r="BH29" s="113"/>
      <c r="BI29" s="114"/>
    </row>
    <row r="30" spans="1:61" ht="21.75" thickBot="1">
      <c r="A30" s="55" t="s">
        <v>26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63">
        <f t="shared" si="27"/>
        <v>0</v>
      </c>
      <c r="AH30" s="63"/>
      <c r="AI30" s="63">
        <f t="shared" si="28"/>
        <v>0</v>
      </c>
      <c r="AN30" s="82"/>
      <c r="AY30" s="103" t="s">
        <v>47</v>
      </c>
      <c r="AZ30" s="275">
        <v>50</v>
      </c>
      <c r="BA30" s="276"/>
      <c r="BB30" s="63"/>
      <c r="BC30" s="63"/>
      <c r="BF30" s="112"/>
      <c r="BG30" s="112"/>
      <c r="BH30" s="113"/>
      <c r="BI30" s="114"/>
    </row>
    <row r="31" spans="1:61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7"/>
        <v>0</v>
      </c>
      <c r="AH31" s="70"/>
      <c r="AI31" s="63">
        <f t="shared" si="28"/>
        <v>0</v>
      </c>
      <c r="AO31" s="82"/>
      <c r="BF31" s="112"/>
      <c r="BG31" s="112"/>
      <c r="BH31" s="113"/>
      <c r="BI31" s="114"/>
    </row>
    <row r="32" spans="1:61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7"/>
        <v>0</v>
      </c>
      <c r="AH32" s="71"/>
      <c r="AI32" s="63">
        <f t="shared" si="28"/>
        <v>0</v>
      </c>
      <c r="AN32" s="82"/>
      <c r="BF32" s="112"/>
      <c r="BG32" s="112"/>
      <c r="BH32" s="113"/>
      <c r="BI32" s="112"/>
    </row>
    <row r="33" spans="1:61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7"/>
        <v>0</v>
      </c>
      <c r="AH33" s="63"/>
      <c r="AI33" s="63">
        <f t="shared" si="28"/>
        <v>0</v>
      </c>
      <c r="AM33" s="82"/>
      <c r="BF33" s="112"/>
      <c r="BG33" s="112"/>
      <c r="BH33" s="113"/>
      <c r="BI33" s="114"/>
    </row>
    <row r="34" spans="1:61" ht="23.25">
      <c r="A34" s="250" t="s">
        <v>48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F34" s="112"/>
      <c r="BG34" s="112"/>
      <c r="BH34" s="113"/>
      <c r="BI34" s="114"/>
    </row>
    <row r="35" spans="1:61" ht="21">
      <c r="A35" s="53"/>
      <c r="B35" s="54">
        <v>45689</v>
      </c>
      <c r="C35" s="54">
        <v>45690</v>
      </c>
      <c r="D35" s="54">
        <v>45691</v>
      </c>
      <c r="E35" s="54">
        <v>45692</v>
      </c>
      <c r="F35" s="54">
        <v>45693</v>
      </c>
      <c r="G35" s="54">
        <v>45694</v>
      </c>
      <c r="H35" s="54">
        <v>45695</v>
      </c>
      <c r="I35" s="54">
        <v>45696</v>
      </c>
      <c r="J35" s="54">
        <v>45697</v>
      </c>
      <c r="K35" s="54">
        <v>45698</v>
      </c>
      <c r="L35" s="54">
        <v>45699</v>
      </c>
      <c r="M35" s="54">
        <v>45700</v>
      </c>
      <c r="N35" s="54">
        <v>45701</v>
      </c>
      <c r="O35" s="54">
        <v>45702</v>
      </c>
      <c r="P35" s="54">
        <v>45703</v>
      </c>
      <c r="Q35" s="54">
        <v>45704</v>
      </c>
      <c r="R35" s="54">
        <v>45705</v>
      </c>
      <c r="S35" s="54">
        <v>45706</v>
      </c>
      <c r="T35" s="54">
        <v>45707</v>
      </c>
      <c r="U35" s="54">
        <v>45708</v>
      </c>
      <c r="V35" s="54">
        <v>45709</v>
      </c>
      <c r="W35" s="54">
        <v>45710</v>
      </c>
      <c r="X35" s="54">
        <v>45711</v>
      </c>
      <c r="Y35" s="54">
        <v>45712</v>
      </c>
      <c r="Z35" s="54">
        <v>45713</v>
      </c>
      <c r="AA35" s="54">
        <v>45714</v>
      </c>
      <c r="AB35" s="54">
        <v>45715</v>
      </c>
      <c r="AC35" s="54">
        <v>45716</v>
      </c>
      <c r="AD35" s="54"/>
      <c r="AE35" s="54"/>
      <c r="AF35" s="54"/>
      <c r="AG35" s="61" t="s">
        <v>2</v>
      </c>
      <c r="AH35" s="61" t="s">
        <v>49</v>
      </c>
      <c r="AI35" s="62" t="s">
        <v>50</v>
      </c>
      <c r="AM35" s="82"/>
      <c r="BF35" s="112"/>
      <c r="BG35" s="112"/>
      <c r="BH35" s="113"/>
      <c r="BI35" s="116"/>
    </row>
    <row r="36" spans="1:61" ht="21">
      <c r="A36" s="55" t="s">
        <v>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63">
        <f t="shared" ref="AG36:AG44" si="29">SUM(B36:AF36)</f>
        <v>0</v>
      </c>
      <c r="AH36" s="63"/>
      <c r="AI36" s="63">
        <f>AG36</f>
        <v>0</v>
      </c>
      <c r="AN36" s="82"/>
      <c r="BF36" s="112"/>
      <c r="BG36" s="112"/>
      <c r="BH36" s="113"/>
      <c r="BI36" s="116"/>
    </row>
    <row r="37" spans="1:61" ht="21">
      <c r="A37" s="55" t="s">
        <v>21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63">
        <f t="shared" si="29"/>
        <v>0</v>
      </c>
      <c r="AH37" s="63"/>
      <c r="AI37" s="63">
        <f>AG37+AH39+AH40+AH41</f>
        <v>0</v>
      </c>
      <c r="AM37" s="82"/>
      <c r="AO37" s="82"/>
      <c r="BF37" s="112"/>
      <c r="BG37" s="112"/>
      <c r="BH37" s="113"/>
      <c r="BI37" s="116"/>
    </row>
    <row r="38" spans="1:61" ht="21">
      <c r="A38" s="55" t="s">
        <v>22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63">
        <f t="shared" si="29"/>
        <v>0</v>
      </c>
      <c r="AH38" s="63"/>
      <c r="AI38" s="63">
        <f>AG38+AH39+AH40+AH41</f>
        <v>0</v>
      </c>
      <c r="AM38" s="82"/>
      <c r="BF38" s="112"/>
      <c r="BG38" s="112"/>
      <c r="BH38" s="116"/>
      <c r="BI38" s="114"/>
    </row>
    <row r="39" spans="1:61" ht="21">
      <c r="A39" s="55" t="s">
        <v>23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63">
        <f t="shared" si="29"/>
        <v>0</v>
      </c>
      <c r="AH39" s="63"/>
      <c r="AI39" s="63">
        <f t="shared" ref="AI39:AI44" si="30">AG39-AH39</f>
        <v>0</v>
      </c>
      <c r="AM39" s="82"/>
    </row>
    <row r="40" spans="1:61" ht="21">
      <c r="A40" s="55" t="s">
        <v>24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63">
        <f t="shared" si="29"/>
        <v>0</v>
      </c>
      <c r="AH40" s="63"/>
      <c r="AI40" s="63">
        <f t="shared" si="30"/>
        <v>0</v>
      </c>
      <c r="AN40" s="82"/>
    </row>
    <row r="41" spans="1:61" ht="21">
      <c r="A41" s="55" t="s">
        <v>26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63">
        <f t="shared" si="29"/>
        <v>0</v>
      </c>
      <c r="AH41" s="63"/>
      <c r="AI41" s="63">
        <f t="shared" si="30"/>
        <v>0</v>
      </c>
    </row>
    <row r="42" spans="1:61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9"/>
        <v>0</v>
      </c>
      <c r="AH42" s="70"/>
      <c r="AI42" s="63">
        <f t="shared" si="30"/>
        <v>0</v>
      </c>
    </row>
    <row r="43" spans="1:61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9"/>
        <v>0</v>
      </c>
      <c r="AH43" s="71"/>
      <c r="AI43" s="63">
        <f t="shared" si="30"/>
        <v>0</v>
      </c>
    </row>
    <row r="44" spans="1:61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9"/>
        <v>0</v>
      </c>
      <c r="AH44" s="63"/>
      <c r="AI44" s="63">
        <f t="shared" si="30"/>
        <v>0</v>
      </c>
    </row>
    <row r="45" spans="1:61" ht="23.25">
      <c r="A45" s="250" t="s">
        <v>51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1" ht="21">
      <c r="A46" s="53"/>
      <c r="B46" s="54">
        <v>45689</v>
      </c>
      <c r="C46" s="54">
        <v>45690</v>
      </c>
      <c r="D46" s="54">
        <v>45691</v>
      </c>
      <c r="E46" s="54">
        <v>45692</v>
      </c>
      <c r="F46" s="54">
        <v>45693</v>
      </c>
      <c r="G46" s="54">
        <v>45694</v>
      </c>
      <c r="H46" s="54">
        <v>45695</v>
      </c>
      <c r="I46" s="54">
        <v>45696</v>
      </c>
      <c r="J46" s="54">
        <v>45697</v>
      </c>
      <c r="K46" s="54">
        <v>45698</v>
      </c>
      <c r="L46" s="54">
        <v>45699</v>
      </c>
      <c r="M46" s="54">
        <v>45700</v>
      </c>
      <c r="N46" s="54">
        <v>45701</v>
      </c>
      <c r="O46" s="54">
        <v>45702</v>
      </c>
      <c r="P46" s="54">
        <v>45703</v>
      </c>
      <c r="Q46" s="54">
        <v>45704</v>
      </c>
      <c r="R46" s="54">
        <v>45705</v>
      </c>
      <c r="S46" s="54">
        <v>45706</v>
      </c>
      <c r="T46" s="54">
        <v>45707</v>
      </c>
      <c r="U46" s="54">
        <v>45708</v>
      </c>
      <c r="V46" s="54">
        <v>45709</v>
      </c>
      <c r="W46" s="54">
        <v>45710</v>
      </c>
      <c r="X46" s="54">
        <v>45711</v>
      </c>
      <c r="Y46" s="54">
        <v>45712</v>
      </c>
      <c r="Z46" s="54">
        <v>45713</v>
      </c>
      <c r="AA46" s="54">
        <v>45714</v>
      </c>
      <c r="AB46" s="54">
        <v>45715</v>
      </c>
      <c r="AC46" s="54">
        <v>45716</v>
      </c>
      <c r="AD46" s="54"/>
      <c r="AE46" s="54"/>
      <c r="AF46" s="54"/>
      <c r="AG46" s="61" t="s">
        <v>2</v>
      </c>
      <c r="AH46" s="61" t="s">
        <v>3</v>
      </c>
      <c r="AI46" s="62" t="s">
        <v>52</v>
      </c>
    </row>
    <row r="47" spans="1:61" ht="21">
      <c r="A47" s="55" t="s">
        <v>5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63">
        <f t="shared" ref="AG47:AG55" si="31">SUM(B47:AF47)</f>
        <v>0</v>
      </c>
      <c r="AH47" s="63"/>
      <c r="AI47" s="63">
        <f>AG47</f>
        <v>0</v>
      </c>
    </row>
    <row r="48" spans="1:61" ht="21">
      <c r="A48" s="55" t="s">
        <v>21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63">
        <f t="shared" si="31"/>
        <v>0</v>
      </c>
      <c r="AH48" s="63"/>
      <c r="AI48" s="63">
        <f>AG48+AH50+AH51+AH52</f>
        <v>0</v>
      </c>
    </row>
    <row r="49" spans="1:35" ht="21">
      <c r="A49" s="55" t="s">
        <v>22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63">
        <f t="shared" si="31"/>
        <v>0</v>
      </c>
      <c r="AH49" s="63"/>
      <c r="AI49" s="63">
        <f>AG49+AH50+AH51+AH52</f>
        <v>0</v>
      </c>
    </row>
    <row r="50" spans="1:35" ht="21">
      <c r="A50" s="55" t="s">
        <v>23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63">
        <f t="shared" si="31"/>
        <v>0</v>
      </c>
      <c r="AH50" s="63"/>
      <c r="AI50" s="63">
        <f t="shared" ref="AI50:AI55" si="32">AG50-AH50</f>
        <v>0</v>
      </c>
    </row>
    <row r="51" spans="1:35" ht="21">
      <c r="A51" s="55" t="s">
        <v>24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63">
        <f t="shared" si="31"/>
        <v>0</v>
      </c>
      <c r="AH51" s="63"/>
      <c r="AI51" s="63">
        <f t="shared" si="32"/>
        <v>0</v>
      </c>
    </row>
    <row r="52" spans="1:35" ht="21">
      <c r="A52" s="55" t="s">
        <v>26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63">
        <f t="shared" si="31"/>
        <v>0</v>
      </c>
      <c r="AH52" s="63"/>
      <c r="AI52" s="63">
        <f t="shared" si="32"/>
        <v>0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31"/>
        <v>0</v>
      </c>
      <c r="AH53" s="70"/>
      <c r="AI53" s="63">
        <f t="shared" si="32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31"/>
        <v>0</v>
      </c>
      <c r="AH54" s="71"/>
      <c r="AI54" s="63">
        <f t="shared" si="32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31"/>
        <v>0</v>
      </c>
      <c r="AH55" s="63"/>
      <c r="AI55" s="63">
        <f t="shared" si="32"/>
        <v>0</v>
      </c>
    </row>
    <row r="56" spans="1:35" ht="23.25">
      <c r="A56" s="250" t="s">
        <v>54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45689</v>
      </c>
      <c r="C57" s="54">
        <v>45690</v>
      </c>
      <c r="D57" s="54">
        <v>45691</v>
      </c>
      <c r="E57" s="54">
        <v>45692</v>
      </c>
      <c r="F57" s="54">
        <v>45693</v>
      </c>
      <c r="G57" s="54">
        <v>45694</v>
      </c>
      <c r="H57" s="54">
        <v>45695</v>
      </c>
      <c r="I57" s="54">
        <v>45696</v>
      </c>
      <c r="J57" s="54">
        <v>45697</v>
      </c>
      <c r="K57" s="54">
        <v>45698</v>
      </c>
      <c r="L57" s="54">
        <v>45699</v>
      </c>
      <c r="M57" s="54">
        <v>45700</v>
      </c>
      <c r="N57" s="54">
        <v>45701</v>
      </c>
      <c r="O57" s="54">
        <v>45702</v>
      </c>
      <c r="P57" s="54">
        <v>45703</v>
      </c>
      <c r="Q57" s="54">
        <v>45704</v>
      </c>
      <c r="R57" s="54">
        <v>45705</v>
      </c>
      <c r="S57" s="54">
        <v>45706</v>
      </c>
      <c r="T57" s="54">
        <v>45707</v>
      </c>
      <c r="U57" s="54">
        <v>45708</v>
      </c>
      <c r="V57" s="54">
        <v>45709</v>
      </c>
      <c r="W57" s="54">
        <v>45710</v>
      </c>
      <c r="X57" s="54">
        <v>45711</v>
      </c>
      <c r="Y57" s="54">
        <v>45712</v>
      </c>
      <c r="Z57" s="54">
        <v>45713</v>
      </c>
      <c r="AA57" s="54">
        <v>45714</v>
      </c>
      <c r="AB57" s="54">
        <v>45715</v>
      </c>
      <c r="AC57" s="54">
        <v>45716</v>
      </c>
      <c r="AD57" s="54"/>
      <c r="AE57" s="54"/>
      <c r="AF57" s="54"/>
      <c r="AG57" s="61" t="s">
        <v>2</v>
      </c>
      <c r="AH57" s="61" t="s">
        <v>3</v>
      </c>
      <c r="AI57" s="62" t="s">
        <v>55</v>
      </c>
    </row>
    <row r="58" spans="1:35" ht="21">
      <c r="A58" s="55" t="s">
        <v>56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63">
        <f t="shared" ref="AG58:AG66" si="33">SUM(B58:AF58)</f>
        <v>0</v>
      </c>
      <c r="AH58" s="63"/>
      <c r="AI58" s="63">
        <f>AG58</f>
        <v>0</v>
      </c>
    </row>
    <row r="59" spans="1:35" ht="21">
      <c r="A59" s="55" t="s">
        <v>21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63">
        <f t="shared" si="33"/>
        <v>0</v>
      </c>
      <c r="AH59" s="63"/>
      <c r="AI59" s="63">
        <f>AG59+AH61+AH62+AH63</f>
        <v>0</v>
      </c>
    </row>
    <row r="60" spans="1:35" ht="21">
      <c r="A60" s="55" t="s">
        <v>22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63">
        <f t="shared" si="33"/>
        <v>0</v>
      </c>
      <c r="AH60" s="63"/>
      <c r="AI60" s="63">
        <f>AG60+AH61+AH62+AH63</f>
        <v>0</v>
      </c>
    </row>
    <row r="61" spans="1:35" ht="21">
      <c r="A61" s="55" t="s">
        <v>23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63">
        <f t="shared" si="33"/>
        <v>0</v>
      </c>
      <c r="AH61" s="63"/>
      <c r="AI61" s="63">
        <f t="shared" ref="AI61:AI66" si="34">AG61-AH61</f>
        <v>0</v>
      </c>
    </row>
    <row r="62" spans="1:35" ht="21">
      <c r="A62" s="55" t="s">
        <v>24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63">
        <f t="shared" si="33"/>
        <v>0</v>
      </c>
      <c r="AH62" s="63"/>
      <c r="AI62" s="63">
        <f t="shared" si="34"/>
        <v>0</v>
      </c>
    </row>
    <row r="63" spans="1:35" ht="21">
      <c r="A63" s="55" t="s">
        <v>26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63">
        <f t="shared" si="33"/>
        <v>0</v>
      </c>
      <c r="AH63" s="63"/>
      <c r="AI63" s="63">
        <f t="shared" si="34"/>
        <v>0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3"/>
        <v>0</v>
      </c>
      <c r="AH64" s="70"/>
      <c r="AI64" s="63">
        <f t="shared" si="34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3"/>
        <v>0</v>
      </c>
      <c r="AH65" s="71"/>
      <c r="AI65" s="63">
        <f t="shared" si="34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3"/>
        <v>0</v>
      </c>
      <c r="AH66" s="63"/>
      <c r="AI66" s="63">
        <f t="shared" si="34"/>
        <v>0</v>
      </c>
    </row>
    <row r="67" spans="1:35" ht="23.25">
      <c r="A67" s="250" t="s">
        <v>66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45689</v>
      </c>
      <c r="C68" s="54">
        <v>45690</v>
      </c>
      <c r="D68" s="54">
        <v>45691</v>
      </c>
      <c r="E68" s="54">
        <v>45692</v>
      </c>
      <c r="F68" s="54">
        <v>45693</v>
      </c>
      <c r="G68" s="54">
        <v>45694</v>
      </c>
      <c r="H68" s="54">
        <v>45695</v>
      </c>
      <c r="I68" s="54">
        <v>45696</v>
      </c>
      <c r="J68" s="54">
        <v>45697</v>
      </c>
      <c r="K68" s="54">
        <v>45698</v>
      </c>
      <c r="L68" s="54">
        <v>45699</v>
      </c>
      <c r="M68" s="54">
        <v>45700</v>
      </c>
      <c r="N68" s="54">
        <v>45701</v>
      </c>
      <c r="O68" s="54">
        <v>45702</v>
      </c>
      <c r="P68" s="54">
        <v>45703</v>
      </c>
      <c r="Q68" s="54">
        <v>45704</v>
      </c>
      <c r="R68" s="54">
        <v>45705</v>
      </c>
      <c r="S68" s="54">
        <v>45706</v>
      </c>
      <c r="T68" s="54">
        <v>45707</v>
      </c>
      <c r="U68" s="54">
        <v>45708</v>
      </c>
      <c r="V68" s="54">
        <v>45709</v>
      </c>
      <c r="W68" s="54">
        <v>45710</v>
      </c>
      <c r="X68" s="54">
        <v>45711</v>
      </c>
      <c r="Y68" s="54">
        <v>45712</v>
      </c>
      <c r="Z68" s="54">
        <v>45713</v>
      </c>
      <c r="AA68" s="54">
        <v>45714</v>
      </c>
      <c r="AB68" s="54">
        <v>45715</v>
      </c>
      <c r="AC68" s="54">
        <v>45716</v>
      </c>
      <c r="AD68" s="54"/>
      <c r="AE68" s="54"/>
      <c r="AF68" s="54"/>
      <c r="AG68" s="61" t="s">
        <v>2</v>
      </c>
      <c r="AH68" s="61" t="s">
        <v>3</v>
      </c>
      <c r="AI68" s="62" t="s">
        <v>57</v>
      </c>
    </row>
    <row r="69" spans="1:35" ht="21">
      <c r="A69" s="55" t="s">
        <v>56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63">
        <f t="shared" ref="AG69:AG77" si="35">SUM(B69:AF69)</f>
        <v>0</v>
      </c>
      <c r="AH69" s="63"/>
      <c r="AI69" s="63">
        <f>AG69</f>
        <v>0</v>
      </c>
    </row>
    <row r="70" spans="1:35" ht="21">
      <c r="A70" s="55" t="s">
        <v>21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63">
        <f t="shared" si="35"/>
        <v>0</v>
      </c>
      <c r="AH70" s="63"/>
      <c r="AI70" s="63">
        <f>AG70+AH72+AH73+AH74</f>
        <v>0</v>
      </c>
    </row>
    <row r="71" spans="1:35" ht="21">
      <c r="A71" s="55" t="s">
        <v>22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63">
        <f t="shared" si="35"/>
        <v>0</v>
      </c>
      <c r="AH71" s="63"/>
      <c r="AI71" s="63">
        <f>AG71+AH72+AH73+AH74</f>
        <v>0</v>
      </c>
    </row>
    <row r="72" spans="1:35" ht="21">
      <c r="A72" s="55" t="s">
        <v>23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63">
        <f t="shared" si="35"/>
        <v>0</v>
      </c>
      <c r="AH72" s="63"/>
      <c r="AI72" s="63">
        <f t="shared" ref="AI72:AI77" si="36">AG72-AH72</f>
        <v>0</v>
      </c>
    </row>
    <row r="73" spans="1:35" ht="21">
      <c r="A73" s="55" t="s">
        <v>24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63">
        <f t="shared" si="35"/>
        <v>0</v>
      </c>
      <c r="AH73" s="63"/>
      <c r="AI73" s="63">
        <f t="shared" si="36"/>
        <v>0</v>
      </c>
    </row>
    <row r="74" spans="1:35" ht="21">
      <c r="A74" s="55" t="s">
        <v>26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63">
        <f t="shared" si="35"/>
        <v>0</v>
      </c>
      <c r="AH74" s="63"/>
      <c r="AI74" s="63">
        <f t="shared" si="36"/>
        <v>0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5"/>
        <v>0</v>
      </c>
      <c r="AH75" s="70"/>
      <c r="AI75" s="63">
        <f t="shared" si="36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5"/>
        <v>0</v>
      </c>
      <c r="AH76" s="71"/>
      <c r="AI76" s="63">
        <f t="shared" si="36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5"/>
        <v>0</v>
      </c>
      <c r="AH77" s="63"/>
      <c r="AI77" s="63">
        <f t="shared" si="36"/>
        <v>0</v>
      </c>
    </row>
    <row r="78" spans="1:35" ht="23.25">
      <c r="A78" s="250" t="s">
        <v>67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45689</v>
      </c>
      <c r="C79" s="54">
        <v>45628</v>
      </c>
      <c r="D79" s="54">
        <v>45629</v>
      </c>
      <c r="E79" s="54">
        <v>45630</v>
      </c>
      <c r="F79" s="54">
        <v>45631</v>
      </c>
      <c r="G79" s="54">
        <v>45632</v>
      </c>
      <c r="H79" s="54">
        <v>45633</v>
      </c>
      <c r="I79" s="54">
        <v>45634</v>
      </c>
      <c r="J79" s="54">
        <v>45635</v>
      </c>
      <c r="K79" s="54">
        <v>45636</v>
      </c>
      <c r="L79" s="54">
        <v>45637</v>
      </c>
      <c r="M79" s="54">
        <v>45638</v>
      </c>
      <c r="N79" s="54">
        <v>45639</v>
      </c>
      <c r="O79" s="54">
        <v>45640</v>
      </c>
      <c r="P79" s="54">
        <v>45641</v>
      </c>
      <c r="Q79" s="54">
        <v>45642</v>
      </c>
      <c r="R79" s="54">
        <v>45643</v>
      </c>
      <c r="S79" s="54">
        <v>45644</v>
      </c>
      <c r="T79" s="54">
        <v>45645</v>
      </c>
      <c r="U79" s="54">
        <v>45646</v>
      </c>
      <c r="V79" s="54">
        <v>45647</v>
      </c>
      <c r="W79" s="54">
        <v>45648</v>
      </c>
      <c r="X79" s="54">
        <v>45649</v>
      </c>
      <c r="Y79" s="54">
        <v>45650</v>
      </c>
      <c r="Z79" s="54">
        <v>45651</v>
      </c>
      <c r="AA79" s="54">
        <v>45652</v>
      </c>
      <c r="AB79" s="54">
        <v>45653</v>
      </c>
      <c r="AC79" s="54">
        <v>45654</v>
      </c>
      <c r="AD79" s="54"/>
      <c r="AE79" s="54"/>
      <c r="AF79" s="54"/>
      <c r="AG79" s="61" t="s">
        <v>2</v>
      </c>
      <c r="AH79" s="61" t="s">
        <v>3</v>
      </c>
      <c r="AI79" s="62" t="s">
        <v>68</v>
      </c>
    </row>
    <row r="80" spans="1:35" ht="21">
      <c r="A80" s="55" t="s">
        <v>56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63">
        <f t="shared" ref="AG80:AG88" si="37">SUM(B80:AF80)</f>
        <v>0</v>
      </c>
      <c r="AH80" s="63"/>
      <c r="AI80" s="63">
        <f>AG80</f>
        <v>0</v>
      </c>
    </row>
    <row r="81" spans="1:68" ht="21">
      <c r="A81" s="55" t="s">
        <v>21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63">
        <f t="shared" si="37"/>
        <v>0</v>
      </c>
      <c r="AH81" s="63"/>
      <c r="AI81" s="63">
        <f>AG81+AH83+AH84+AH85</f>
        <v>0</v>
      </c>
    </row>
    <row r="82" spans="1:68" ht="21">
      <c r="A82" s="55" t="s">
        <v>22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63">
        <f t="shared" si="37"/>
        <v>0</v>
      </c>
      <c r="AH82" s="63"/>
      <c r="AI82" s="63">
        <f>AG82+AH83+AH84+AH85</f>
        <v>0</v>
      </c>
    </row>
    <row r="83" spans="1:68" ht="21">
      <c r="A83" s="55" t="s">
        <v>23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63">
        <f t="shared" si="37"/>
        <v>0</v>
      </c>
      <c r="AH83" s="63"/>
      <c r="AI83" s="63">
        <f t="shared" ref="AI83:AI88" si="38">AG83-AH83</f>
        <v>0</v>
      </c>
    </row>
    <row r="84" spans="1:68" ht="21">
      <c r="A84" s="55" t="s">
        <v>24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63">
        <f t="shared" si="37"/>
        <v>0</v>
      </c>
      <c r="AH84" s="63"/>
      <c r="AI84" s="63">
        <f t="shared" si="38"/>
        <v>0</v>
      </c>
    </row>
    <row r="85" spans="1:68" ht="21">
      <c r="A85" s="55" t="s">
        <v>26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63">
        <f t="shared" si="37"/>
        <v>0</v>
      </c>
      <c r="AH85" s="63"/>
      <c r="AI85" s="63">
        <f t="shared" si="38"/>
        <v>0</v>
      </c>
    </row>
    <row r="86" spans="1:68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7"/>
        <v>0</v>
      </c>
      <c r="AH86" s="70"/>
      <c r="AI86" s="63">
        <f t="shared" si="38"/>
        <v>0</v>
      </c>
    </row>
    <row r="87" spans="1:68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7"/>
        <v>0</v>
      </c>
      <c r="AH87" s="71"/>
      <c r="AI87" s="63">
        <f t="shared" si="38"/>
        <v>0</v>
      </c>
    </row>
    <row r="88" spans="1:68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7"/>
        <v>0</v>
      </c>
      <c r="AH88" s="63"/>
      <c r="AI88" s="63">
        <f t="shared" si="38"/>
        <v>0</v>
      </c>
    </row>
    <row r="89" spans="1:68" ht="23.25">
      <c r="A89" s="250" t="s">
        <v>58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AW89"/>
      <c r="BE89" s="3"/>
      <c r="BF89" s="41"/>
      <c r="BG89" s="41"/>
      <c r="BJ89" s="3"/>
      <c r="BK89" s="3"/>
      <c r="BL89" s="3"/>
      <c r="BM89" s="3"/>
      <c r="BN89" s="3"/>
      <c r="BO89" s="3"/>
      <c r="BP89" s="3"/>
    </row>
    <row r="90" spans="1:68" ht="21">
      <c r="A90" s="53"/>
      <c r="B90" s="54">
        <v>45689</v>
      </c>
      <c r="C90" s="54">
        <v>45628</v>
      </c>
      <c r="D90" s="54">
        <v>45629</v>
      </c>
      <c r="E90" s="54">
        <v>45630</v>
      </c>
      <c r="F90" s="54">
        <v>45631</v>
      </c>
      <c r="G90" s="54">
        <v>45632</v>
      </c>
      <c r="H90" s="54">
        <v>45633</v>
      </c>
      <c r="I90" s="54">
        <v>45634</v>
      </c>
      <c r="J90" s="54">
        <v>45635</v>
      </c>
      <c r="K90" s="54">
        <v>45636</v>
      </c>
      <c r="L90" s="54">
        <v>45637</v>
      </c>
      <c r="M90" s="54">
        <v>45638</v>
      </c>
      <c r="N90" s="54">
        <v>45639</v>
      </c>
      <c r="O90" s="54">
        <v>45640</v>
      </c>
      <c r="P90" s="54">
        <v>45641</v>
      </c>
      <c r="Q90" s="54">
        <v>45642</v>
      </c>
      <c r="R90" s="54">
        <v>45643</v>
      </c>
      <c r="S90" s="54">
        <v>45644</v>
      </c>
      <c r="T90" s="54">
        <v>45645</v>
      </c>
      <c r="U90" s="54">
        <v>45646</v>
      </c>
      <c r="V90" s="54">
        <v>45647</v>
      </c>
      <c r="W90" s="54">
        <v>45648</v>
      </c>
      <c r="X90" s="54">
        <v>45649</v>
      </c>
      <c r="Y90" s="54">
        <v>45650</v>
      </c>
      <c r="Z90" s="54">
        <v>45651</v>
      </c>
      <c r="AA90" s="54">
        <v>45652</v>
      </c>
      <c r="AB90" s="54">
        <v>45653</v>
      </c>
      <c r="AC90" s="54">
        <v>45654</v>
      </c>
      <c r="AD90" s="54"/>
      <c r="AE90" s="54"/>
      <c r="AF90" s="54"/>
      <c r="AG90" s="61" t="s">
        <v>2</v>
      </c>
      <c r="AH90" s="61" t="s">
        <v>3</v>
      </c>
      <c r="AI90" s="62" t="s">
        <v>59</v>
      </c>
    </row>
    <row r="91" spans="1:68" ht="21">
      <c r="A91" s="55" t="s">
        <v>56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63">
        <f t="shared" ref="AG91:AG99" si="39">SUM(B91:AF91)</f>
        <v>0</v>
      </c>
      <c r="AH91" s="63"/>
      <c r="AI91" s="63">
        <f>AG91</f>
        <v>0</v>
      </c>
    </row>
    <row r="92" spans="1:68" ht="21">
      <c r="A92" s="55" t="s">
        <v>21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63">
        <f t="shared" si="39"/>
        <v>0</v>
      </c>
      <c r="AH92" s="63"/>
      <c r="AI92" s="63">
        <f>AG92+AH94+AH95+AH96</f>
        <v>0</v>
      </c>
    </row>
    <row r="93" spans="1:68" ht="21">
      <c r="A93" s="55" t="s">
        <v>22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63">
        <f t="shared" si="39"/>
        <v>0</v>
      </c>
      <c r="AH93" s="63"/>
      <c r="AI93" s="63">
        <f>AG93+AH94+AH95+AH96</f>
        <v>0</v>
      </c>
    </row>
    <row r="94" spans="1:68" ht="21">
      <c r="A94" s="55" t="s">
        <v>23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63">
        <f t="shared" si="39"/>
        <v>0</v>
      </c>
      <c r="AH94" s="63"/>
      <c r="AI94" s="63">
        <f t="shared" ref="AI94:AI99" si="40">AG94-AH94</f>
        <v>0</v>
      </c>
    </row>
    <row r="95" spans="1:68" ht="21">
      <c r="A95" s="55" t="s">
        <v>24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63">
        <f t="shared" si="39"/>
        <v>0</v>
      </c>
      <c r="AH95" s="63"/>
      <c r="AI95" s="63">
        <f t="shared" si="40"/>
        <v>0</v>
      </c>
    </row>
    <row r="96" spans="1:68" ht="21">
      <c r="A96" s="55" t="s">
        <v>26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63">
        <f t="shared" si="39"/>
        <v>0</v>
      </c>
      <c r="AH96" s="63"/>
      <c r="AI96" s="63">
        <f t="shared" si="40"/>
        <v>0</v>
      </c>
    </row>
    <row r="97" spans="1:76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9"/>
        <v>0</v>
      </c>
      <c r="AH97" s="70"/>
      <c r="AI97" s="63">
        <f t="shared" si="40"/>
        <v>0</v>
      </c>
    </row>
    <row r="98" spans="1:76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9"/>
        <v>0</v>
      </c>
      <c r="AH98" s="71"/>
      <c r="AI98" s="63">
        <f t="shared" si="40"/>
        <v>0</v>
      </c>
    </row>
    <row r="99" spans="1:76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9"/>
        <v>0</v>
      </c>
      <c r="AH99" s="63"/>
      <c r="AI99" s="63">
        <f t="shared" si="40"/>
        <v>0</v>
      </c>
    </row>
    <row r="100" spans="1:76" ht="23.25">
      <c r="A100" s="250" t="s">
        <v>60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AW100"/>
      <c r="BE100" s="3"/>
      <c r="BF100" s="41"/>
      <c r="BG100" s="41"/>
      <c r="BJ100" s="3"/>
      <c r="BK100" s="3"/>
      <c r="BL100" s="3"/>
      <c r="BM100" s="3"/>
      <c r="BN100" s="3"/>
      <c r="BO100" s="3"/>
      <c r="BP100" s="3"/>
    </row>
    <row r="101" spans="1:76" ht="21">
      <c r="A101" s="53"/>
      <c r="B101" s="54">
        <v>45627</v>
      </c>
      <c r="C101" s="54">
        <v>45628</v>
      </c>
      <c r="D101" s="54">
        <v>45629</v>
      </c>
      <c r="E101" s="54">
        <v>45630</v>
      </c>
      <c r="F101" s="54">
        <v>45631</v>
      </c>
      <c r="G101" s="54">
        <v>45632</v>
      </c>
      <c r="H101" s="54">
        <v>45633</v>
      </c>
      <c r="I101" s="54">
        <v>45634</v>
      </c>
      <c r="J101" s="54">
        <v>45635</v>
      </c>
      <c r="K101" s="54">
        <v>45636</v>
      </c>
      <c r="L101" s="54">
        <v>45637</v>
      </c>
      <c r="M101" s="54">
        <v>45638</v>
      </c>
      <c r="N101" s="54">
        <v>45639</v>
      </c>
      <c r="O101" s="54">
        <v>45640</v>
      </c>
      <c r="P101" s="54">
        <v>45641</v>
      </c>
      <c r="Q101" s="54">
        <v>45642</v>
      </c>
      <c r="R101" s="54">
        <v>45643</v>
      </c>
      <c r="S101" s="54">
        <v>45644</v>
      </c>
      <c r="T101" s="54">
        <v>45645</v>
      </c>
      <c r="U101" s="54">
        <v>45646</v>
      </c>
      <c r="V101" s="54">
        <v>45647</v>
      </c>
      <c r="W101" s="54">
        <v>45648</v>
      </c>
      <c r="X101" s="54">
        <v>45649</v>
      </c>
      <c r="Y101" s="54">
        <v>45650</v>
      </c>
      <c r="Z101" s="54">
        <v>45651</v>
      </c>
      <c r="AA101" s="54">
        <v>45652</v>
      </c>
      <c r="AB101" s="54">
        <v>45653</v>
      </c>
      <c r="AC101" s="54">
        <v>45654</v>
      </c>
      <c r="AD101" s="54">
        <v>45655</v>
      </c>
      <c r="AE101" s="54">
        <v>45656</v>
      </c>
      <c r="AF101" s="54">
        <v>45657</v>
      </c>
      <c r="AG101" s="61" t="s">
        <v>2</v>
      </c>
      <c r="AH101" s="61" t="s">
        <v>3</v>
      </c>
      <c r="AI101" s="62" t="s">
        <v>61</v>
      </c>
    </row>
    <row r="102" spans="1:76" ht="21">
      <c r="A102" s="55" t="s">
        <v>56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63">
        <f t="shared" ref="AG102:AG110" si="41">SUM(B102:AF102)</f>
        <v>0</v>
      </c>
      <c r="AH102" s="63"/>
      <c r="AI102" s="63">
        <f>AG102</f>
        <v>0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2"/>
      <c r="BW102" s="122"/>
      <c r="BX102" s="123"/>
    </row>
    <row r="103" spans="1:76" ht="21">
      <c r="A103" s="55" t="s">
        <v>21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63">
        <f t="shared" si="41"/>
        <v>0</v>
      </c>
      <c r="AH103" s="63"/>
      <c r="AI103" s="63">
        <f>AG103+AH105+AH106+AH107</f>
        <v>0</v>
      </c>
      <c r="AY103" s="121"/>
      <c r="AZ103" s="121"/>
      <c r="BA103" s="121"/>
      <c r="BB103" s="121"/>
      <c r="BC103" s="121"/>
      <c r="BF103"/>
      <c r="BG103"/>
      <c r="BH103"/>
      <c r="BI103"/>
    </row>
    <row r="104" spans="1:76" ht="21">
      <c r="A104" s="55" t="s">
        <v>22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63">
        <f t="shared" si="41"/>
        <v>0</v>
      </c>
      <c r="AH104" s="63"/>
      <c r="AI104" s="63">
        <f>AG104+AH105+AH106+AH107</f>
        <v>0</v>
      </c>
    </row>
    <row r="105" spans="1:76" ht="21">
      <c r="A105" s="55" t="s">
        <v>23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63">
        <f t="shared" si="41"/>
        <v>0</v>
      </c>
      <c r="AH105" s="63"/>
      <c r="AI105" s="63">
        <f t="shared" ref="AI105:AI110" si="42">AG105-AH105</f>
        <v>0</v>
      </c>
    </row>
    <row r="106" spans="1:76" ht="21">
      <c r="A106" s="55" t="s">
        <v>24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63">
        <f t="shared" si="41"/>
        <v>0</v>
      </c>
      <c r="AH106" s="63"/>
      <c r="AI106" s="63">
        <f t="shared" si="42"/>
        <v>0</v>
      </c>
    </row>
    <row r="107" spans="1:76" ht="21">
      <c r="A107" s="55" t="s">
        <v>26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63">
        <f t="shared" si="41"/>
        <v>0</v>
      </c>
      <c r="AH107" s="63"/>
      <c r="AI107" s="63">
        <f t="shared" si="42"/>
        <v>0</v>
      </c>
    </row>
    <row r="108" spans="1:76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41"/>
        <v>0</v>
      </c>
      <c r="AH108" s="70"/>
      <c r="AI108" s="63">
        <f t="shared" si="42"/>
        <v>0</v>
      </c>
    </row>
    <row r="109" spans="1:76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41"/>
        <v>0</v>
      </c>
      <c r="AH109" s="71"/>
      <c r="AI109" s="63">
        <f t="shared" si="42"/>
        <v>0</v>
      </c>
    </row>
    <row r="110" spans="1:76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41"/>
        <v>0</v>
      </c>
      <c r="AH110" s="63"/>
      <c r="AI110" s="63">
        <f t="shared" si="42"/>
        <v>0</v>
      </c>
    </row>
    <row r="113" spans="1:76" ht="23.25">
      <c r="A113" s="250" t="s">
        <v>69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59"/>
      <c r="AI113" s="60"/>
      <c r="AL113"/>
      <c r="AM113"/>
      <c r="AN113"/>
      <c r="AO113"/>
      <c r="AP113"/>
      <c r="AQ113"/>
      <c r="AR113"/>
      <c r="AS113"/>
      <c r="AT113"/>
      <c r="AU113"/>
      <c r="AV113"/>
      <c r="AW113"/>
      <c r="BE113" s="3"/>
      <c r="BF113" s="41"/>
      <c r="BG113" s="41"/>
      <c r="BJ113" s="3"/>
      <c r="BK113" s="3"/>
      <c r="BL113" s="3"/>
      <c r="BM113" s="3"/>
      <c r="BN113" s="3"/>
      <c r="BO113" s="3"/>
      <c r="BP113" s="3"/>
    </row>
    <row r="114" spans="1:76" ht="21">
      <c r="A114" s="53"/>
      <c r="B114" s="54">
        <v>45627</v>
      </c>
      <c r="C114" s="54">
        <v>45628</v>
      </c>
      <c r="D114" s="54">
        <v>45629</v>
      </c>
      <c r="E114" s="54">
        <v>45630</v>
      </c>
      <c r="F114" s="54">
        <v>45631</v>
      </c>
      <c r="G114" s="54">
        <v>45632</v>
      </c>
      <c r="H114" s="54">
        <v>45633</v>
      </c>
      <c r="I114" s="54">
        <v>45634</v>
      </c>
      <c r="J114" s="54">
        <v>45635</v>
      </c>
      <c r="K114" s="54">
        <v>45636</v>
      </c>
      <c r="L114" s="54">
        <v>45637</v>
      </c>
      <c r="M114" s="54">
        <v>45638</v>
      </c>
      <c r="N114" s="54">
        <v>45639</v>
      </c>
      <c r="O114" s="54">
        <v>45640</v>
      </c>
      <c r="P114" s="54">
        <v>45641</v>
      </c>
      <c r="Q114" s="54">
        <v>45642</v>
      </c>
      <c r="R114" s="54">
        <v>45643</v>
      </c>
      <c r="S114" s="54">
        <v>45644</v>
      </c>
      <c r="T114" s="54">
        <v>45645</v>
      </c>
      <c r="U114" s="54">
        <v>45646</v>
      </c>
      <c r="V114" s="54">
        <v>45647</v>
      </c>
      <c r="W114" s="54">
        <v>45648</v>
      </c>
      <c r="X114" s="54">
        <v>45649</v>
      </c>
      <c r="Y114" s="54">
        <v>45650</v>
      </c>
      <c r="Z114" s="54">
        <v>45651</v>
      </c>
      <c r="AA114" s="54">
        <v>45652</v>
      </c>
      <c r="AB114" s="54">
        <v>45653</v>
      </c>
      <c r="AC114" s="54">
        <v>45654</v>
      </c>
      <c r="AD114" s="54">
        <v>45655</v>
      </c>
      <c r="AE114" s="54">
        <v>45656</v>
      </c>
      <c r="AF114" s="54">
        <v>45657</v>
      </c>
      <c r="AG114" s="61" t="s">
        <v>2</v>
      </c>
      <c r="AH114" s="61" t="s">
        <v>3</v>
      </c>
      <c r="AI114" s="62" t="s">
        <v>70</v>
      </c>
    </row>
    <row r="115" spans="1:76" ht="21">
      <c r="A115" s="55" t="s">
        <v>56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63">
        <f t="shared" ref="AG115:AG123" si="43">SUM(B115:AF115)</f>
        <v>0</v>
      </c>
      <c r="AH115" s="63"/>
      <c r="AI115" s="63">
        <f>AG115</f>
        <v>0</v>
      </c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2"/>
      <c r="BW115" s="122"/>
      <c r="BX115" s="123"/>
    </row>
    <row r="116" spans="1:76" ht="21">
      <c r="A116" s="55" t="s">
        <v>21</v>
      </c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63">
        <f t="shared" si="43"/>
        <v>0</v>
      </c>
      <c r="AH116" s="63"/>
      <c r="AI116" s="63">
        <f>AG116+AH118+AH119+AH120</f>
        <v>0</v>
      </c>
      <c r="AY116" s="121"/>
      <c r="AZ116" s="121"/>
      <c r="BA116" s="121"/>
      <c r="BB116" s="121"/>
      <c r="BC116" s="121"/>
      <c r="BF116"/>
      <c r="BG116"/>
      <c r="BH116"/>
      <c r="BI116"/>
    </row>
    <row r="117" spans="1:76" ht="21">
      <c r="A117" s="55" t="s">
        <v>22</v>
      </c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63">
        <f t="shared" si="43"/>
        <v>0</v>
      </c>
      <c r="AH117" s="63"/>
      <c r="AI117" s="63">
        <f>AG117+AH118+AH119+AH120</f>
        <v>0</v>
      </c>
    </row>
    <row r="118" spans="1:76" ht="21">
      <c r="A118" s="55" t="s">
        <v>23</v>
      </c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63">
        <f t="shared" si="43"/>
        <v>0</v>
      </c>
      <c r="AH118" s="63"/>
      <c r="AI118" s="63">
        <f t="shared" ref="AI118:AI123" si="44">AG118-AH118</f>
        <v>0</v>
      </c>
    </row>
    <row r="119" spans="1:76" ht="21">
      <c r="A119" s="55" t="s">
        <v>24</v>
      </c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63">
        <f t="shared" si="43"/>
        <v>0</v>
      </c>
      <c r="AH119" s="63"/>
      <c r="AI119" s="63">
        <f t="shared" si="44"/>
        <v>0</v>
      </c>
    </row>
    <row r="120" spans="1:76" ht="21">
      <c r="A120" s="55" t="s">
        <v>26</v>
      </c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63">
        <f t="shared" si="43"/>
        <v>0</v>
      </c>
      <c r="AH120" s="63"/>
      <c r="AI120" s="63">
        <f t="shared" si="44"/>
        <v>0</v>
      </c>
    </row>
    <row r="121" spans="1:76" ht="21">
      <c r="A121" s="55" t="s">
        <v>28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63">
        <f t="shared" si="43"/>
        <v>0</v>
      </c>
      <c r="AH121" s="70"/>
      <c r="AI121" s="63">
        <f t="shared" si="44"/>
        <v>0</v>
      </c>
    </row>
    <row r="122" spans="1:76" ht="21">
      <c r="A122" s="55" t="s">
        <v>29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63">
        <f t="shared" si="43"/>
        <v>0</v>
      </c>
      <c r="AH122" s="71"/>
      <c r="AI122" s="63">
        <f t="shared" si="44"/>
        <v>0</v>
      </c>
    </row>
    <row r="123" spans="1:76" ht="21">
      <c r="A123" s="56" t="s">
        <v>31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63">
        <f t="shared" si="43"/>
        <v>0</v>
      </c>
      <c r="AH123" s="63"/>
      <c r="AI123" s="63">
        <f t="shared" si="44"/>
        <v>0</v>
      </c>
    </row>
  </sheetData>
  <mergeCells count="19">
    <mergeCell ref="A113:AG113"/>
    <mergeCell ref="A45:AG45"/>
    <mergeCell ref="A56:AG56"/>
    <mergeCell ref="A67:AG67"/>
    <mergeCell ref="A78:AG78"/>
    <mergeCell ref="A89:AG89"/>
    <mergeCell ref="A100:AG100"/>
    <mergeCell ref="A34:AG34"/>
    <mergeCell ref="A1:AG1"/>
    <mergeCell ref="AK1:AW2"/>
    <mergeCell ref="AY1:BC2"/>
    <mergeCell ref="BF1:BI2"/>
    <mergeCell ref="A12:AG12"/>
    <mergeCell ref="AK14:AW15"/>
    <mergeCell ref="AK16:AW17"/>
    <mergeCell ref="A23:AG23"/>
    <mergeCell ref="AZ28:BA28"/>
    <mergeCell ref="AZ29:BA29"/>
    <mergeCell ref="AZ30:BA3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0"/>
  <sheetViews>
    <sheetView showGridLines="0" topLeftCell="A91" zoomScale="50" zoomScaleNormal="50" workbookViewId="0">
      <pane xSplit="1" topLeftCell="B1" activePane="topRight" state="frozen"/>
      <selection pane="topRight" activeCell="R18" sqref="R18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8" width="9.42578125" style="3" customWidth="1"/>
    <col min="39" max="39" width="11.85546875" style="3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5" width="24.28515625" style="3" customWidth="1"/>
    <col min="46" max="46" width="30.42578125" style="3" customWidth="1"/>
    <col min="47" max="47" width="21.140625" style="3" customWidth="1"/>
    <col min="48" max="48" width="10.5703125" style="3" customWidth="1"/>
    <col min="50" max="50" width="33.5703125" customWidth="1"/>
    <col min="51" max="52" width="28.7109375" customWidth="1"/>
    <col min="53" max="53" width="29.85546875" customWidth="1"/>
    <col min="54" max="54" width="17" customWidth="1"/>
    <col min="57" max="57" width="14.140625" style="2" customWidth="1"/>
    <col min="58" max="58" width="17.7109375" style="2" customWidth="1"/>
    <col min="59" max="59" width="25.42578125" style="2" customWidth="1"/>
    <col min="60" max="60" width="26.5703125" style="2" customWidth="1"/>
  </cols>
  <sheetData>
    <row r="1" spans="1:60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127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3"/>
      <c r="AX1" s="257" t="s">
        <v>1</v>
      </c>
      <c r="AY1" s="258"/>
      <c r="AZ1" s="258"/>
      <c r="BA1" s="258"/>
      <c r="BB1" s="259"/>
      <c r="BE1" s="263"/>
      <c r="BF1" s="263"/>
      <c r="BG1" s="263"/>
      <c r="BH1" s="263"/>
    </row>
    <row r="2" spans="1:60" s="1" customFormat="1" ht="23.25" customHeight="1">
      <c r="A2" s="53"/>
      <c r="B2" s="54">
        <v>45689</v>
      </c>
      <c r="C2" s="54">
        <v>45690</v>
      </c>
      <c r="D2" s="54">
        <v>45691</v>
      </c>
      <c r="E2" s="54">
        <v>45692</v>
      </c>
      <c r="F2" s="54">
        <v>45693</v>
      </c>
      <c r="G2" s="54">
        <v>45694</v>
      </c>
      <c r="H2" s="54">
        <v>45695</v>
      </c>
      <c r="I2" s="54">
        <v>45696</v>
      </c>
      <c r="J2" s="54">
        <v>45697</v>
      </c>
      <c r="K2" s="54">
        <v>45698</v>
      </c>
      <c r="L2" s="54">
        <v>45699</v>
      </c>
      <c r="M2" s="54">
        <v>45700</v>
      </c>
      <c r="N2" s="54">
        <v>45701</v>
      </c>
      <c r="O2" s="54">
        <v>45702</v>
      </c>
      <c r="P2" s="54">
        <v>45703</v>
      </c>
      <c r="Q2" s="54">
        <v>45704</v>
      </c>
      <c r="R2" s="54">
        <v>45705</v>
      </c>
      <c r="S2" s="54">
        <v>45706</v>
      </c>
      <c r="T2" s="54">
        <v>45707</v>
      </c>
      <c r="U2" s="54">
        <v>45708</v>
      </c>
      <c r="V2" s="54">
        <v>45709</v>
      </c>
      <c r="W2" s="54">
        <v>45710</v>
      </c>
      <c r="X2" s="54">
        <v>45711</v>
      </c>
      <c r="Y2" s="54">
        <v>45712</v>
      </c>
      <c r="Z2" s="54">
        <v>45713</v>
      </c>
      <c r="AA2" s="54">
        <v>45714</v>
      </c>
      <c r="AB2" s="54">
        <v>45715</v>
      </c>
      <c r="AC2" s="54">
        <v>45716</v>
      </c>
      <c r="AD2" s="54"/>
      <c r="AE2" s="54"/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6"/>
      <c r="AX2" s="260"/>
      <c r="AY2" s="261"/>
      <c r="AZ2" s="261"/>
      <c r="BA2" s="261"/>
      <c r="BB2" s="262"/>
      <c r="BE2" s="263"/>
      <c r="BF2" s="263"/>
      <c r="BG2" s="263"/>
      <c r="BH2" s="263"/>
    </row>
    <row r="3" spans="1:60" ht="2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63">
        <f>SUM(B3:AF3)</f>
        <v>0</v>
      </c>
      <c r="AH3" s="63"/>
      <c r="AI3" s="63">
        <f>AG3</f>
        <v>0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14</v>
      </c>
      <c r="AU3" s="65" t="s">
        <v>15</v>
      </c>
      <c r="AV3" s="84" t="s">
        <v>2</v>
      </c>
      <c r="AX3" s="85" t="s">
        <v>16</v>
      </c>
      <c r="AY3" s="86" t="s">
        <v>17</v>
      </c>
      <c r="AZ3" s="86" t="s">
        <v>18</v>
      </c>
      <c r="BA3" s="86" t="s">
        <v>19</v>
      </c>
      <c r="BB3" s="86" t="s">
        <v>20</v>
      </c>
      <c r="BE3" s="110"/>
      <c r="BF3" s="110"/>
      <c r="BG3" s="111"/>
      <c r="BH3" s="110"/>
    </row>
    <row r="4" spans="1:60" ht="21">
      <c r="A4" s="55" t="s">
        <v>21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63">
        <f t="shared" ref="AG4:AG11" si="0">SUM(B4:AF4)</f>
        <v>0</v>
      </c>
      <c r="AH4" s="63"/>
      <c r="AI4" s="63">
        <f>AG4+AH6+AH7+AH8</f>
        <v>0</v>
      </c>
      <c r="AK4" s="66" t="s">
        <v>5</v>
      </c>
      <c r="AL4" s="67">
        <f>AI3</f>
        <v>0</v>
      </c>
      <c r="AM4" s="67">
        <f t="shared" ref="AM4:AM12" si="1">AI14</f>
        <v>0</v>
      </c>
      <c r="AN4" s="67">
        <f t="shared" ref="AN4:AN12" si="2">AI25</f>
        <v>0</v>
      </c>
      <c r="AO4" s="67">
        <f t="shared" ref="AO4:AO12" si="3">AI36</f>
        <v>0</v>
      </c>
      <c r="AP4" s="67">
        <f t="shared" ref="AP4:AP12" si="4">AI47</f>
        <v>0</v>
      </c>
      <c r="AQ4" s="67">
        <f t="shared" ref="AQ4:AQ12" si="5">AI58</f>
        <v>0</v>
      </c>
      <c r="AR4" s="67">
        <f t="shared" ref="AR4:AR12" si="6">AI69</f>
        <v>0</v>
      </c>
      <c r="AS4" s="67">
        <f t="shared" ref="AS4:AS12" si="7">AI80</f>
        <v>0</v>
      </c>
      <c r="AT4" s="67">
        <f t="shared" ref="AT4:AT12" si="8">AI91</f>
        <v>0</v>
      </c>
      <c r="AU4" s="67">
        <f t="shared" ref="AU4:AU12" si="9">AI102</f>
        <v>0</v>
      </c>
      <c r="AV4" s="87">
        <f>SUM(AL4:AU4)</f>
        <v>0</v>
      </c>
      <c r="AX4" s="88">
        <v>1</v>
      </c>
      <c r="AY4" s="88" t="s">
        <v>7</v>
      </c>
      <c r="AZ4" s="88">
        <f>AL5</f>
        <v>0</v>
      </c>
      <c r="BA4" s="88">
        <f>AL7+AL9</f>
        <v>0</v>
      </c>
      <c r="BB4" s="89" t="e">
        <f>BA4/AZ4</f>
        <v>#DIV/0!</v>
      </c>
      <c r="BE4" s="112"/>
      <c r="BF4" s="112"/>
      <c r="BG4" s="113"/>
      <c r="BH4" s="112"/>
    </row>
    <row r="5" spans="1:60" ht="21">
      <c r="A5" s="55" t="s">
        <v>22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63">
        <f t="shared" si="0"/>
        <v>0</v>
      </c>
      <c r="AH5" s="63"/>
      <c r="AI5" s="63">
        <f t="shared" ref="AI5:AI11" si="10">AG5-AH5</f>
        <v>0</v>
      </c>
      <c r="AK5" s="66" t="s">
        <v>21</v>
      </c>
      <c r="AL5" s="67">
        <f t="shared" ref="AL5:AL12" si="11">AI4</f>
        <v>0</v>
      </c>
      <c r="AM5" s="67">
        <f t="shared" si="1"/>
        <v>0</v>
      </c>
      <c r="AN5" s="67">
        <f t="shared" si="2"/>
        <v>0</v>
      </c>
      <c r="AO5" s="67">
        <f t="shared" si="3"/>
        <v>0</v>
      </c>
      <c r="AP5" s="67">
        <f t="shared" si="4"/>
        <v>0</v>
      </c>
      <c r="AQ5" s="67">
        <f t="shared" si="5"/>
        <v>0</v>
      </c>
      <c r="AR5" s="67">
        <f t="shared" si="6"/>
        <v>0</v>
      </c>
      <c r="AS5" s="67">
        <f t="shared" si="7"/>
        <v>0</v>
      </c>
      <c r="AT5" s="67">
        <f t="shared" si="8"/>
        <v>0</v>
      </c>
      <c r="AU5" s="67">
        <f t="shared" si="9"/>
        <v>0</v>
      </c>
      <c r="AV5" s="87">
        <f t="shared" ref="AV5:AV12" si="12">SUM(AL5:AU5)</f>
        <v>0</v>
      </c>
      <c r="AX5" s="90">
        <v>2</v>
      </c>
      <c r="AY5" s="90" t="s">
        <v>8</v>
      </c>
      <c r="AZ5" s="90">
        <f>AM5</f>
        <v>0</v>
      </c>
      <c r="BA5" s="90">
        <f>AM7+AM9</f>
        <v>0</v>
      </c>
      <c r="BB5" s="89" t="e">
        <f t="shared" ref="BB5:BB13" si="13">BA5/AZ5</f>
        <v>#DIV/0!</v>
      </c>
      <c r="BE5" s="112"/>
      <c r="BF5" s="112"/>
      <c r="BG5" s="113"/>
      <c r="BH5" s="114"/>
    </row>
    <row r="6" spans="1:60" ht="21">
      <c r="A6" s="55" t="s">
        <v>23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63">
        <f t="shared" si="0"/>
        <v>0</v>
      </c>
      <c r="AH6" s="63"/>
      <c r="AI6" s="63">
        <f t="shared" si="10"/>
        <v>0</v>
      </c>
      <c r="AK6" s="68" t="s">
        <v>22</v>
      </c>
      <c r="AL6" s="69">
        <f t="shared" si="11"/>
        <v>0</v>
      </c>
      <c r="AM6" s="69">
        <f t="shared" si="1"/>
        <v>0</v>
      </c>
      <c r="AN6" s="69">
        <f t="shared" si="2"/>
        <v>0</v>
      </c>
      <c r="AO6" s="69">
        <f t="shared" si="3"/>
        <v>0</v>
      </c>
      <c r="AP6" s="69">
        <f t="shared" si="4"/>
        <v>0</v>
      </c>
      <c r="AQ6" s="69">
        <f t="shared" si="5"/>
        <v>0</v>
      </c>
      <c r="AR6" s="69">
        <f t="shared" si="6"/>
        <v>0</v>
      </c>
      <c r="AS6" s="69">
        <f t="shared" si="7"/>
        <v>0</v>
      </c>
      <c r="AT6" s="69">
        <f t="shared" si="8"/>
        <v>0</v>
      </c>
      <c r="AU6" s="69">
        <f t="shared" si="9"/>
        <v>0</v>
      </c>
      <c r="AV6" s="91">
        <f t="shared" si="12"/>
        <v>0</v>
      </c>
      <c r="AX6" s="90">
        <v>3</v>
      </c>
      <c r="AY6" s="90" t="s">
        <v>9</v>
      </c>
      <c r="AZ6" s="90">
        <f>AN5</f>
        <v>0</v>
      </c>
      <c r="BA6" s="90">
        <f>AN7+AN9</f>
        <v>0</v>
      </c>
      <c r="BB6" s="89" t="e">
        <f t="shared" si="13"/>
        <v>#DIV/0!</v>
      </c>
      <c r="BE6" s="112"/>
      <c r="BF6" s="112"/>
      <c r="BG6" s="113"/>
      <c r="BH6" s="112"/>
    </row>
    <row r="7" spans="1:60" ht="21">
      <c r="A7" s="55" t="s">
        <v>24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63">
        <f t="shared" si="0"/>
        <v>0</v>
      </c>
      <c r="AH7" s="63"/>
      <c r="AI7" s="63">
        <f t="shared" si="10"/>
        <v>0</v>
      </c>
      <c r="AK7" s="68" t="s">
        <v>23</v>
      </c>
      <c r="AL7" s="69">
        <f t="shared" si="11"/>
        <v>0</v>
      </c>
      <c r="AM7" s="69">
        <f t="shared" si="1"/>
        <v>0</v>
      </c>
      <c r="AN7" s="69">
        <f t="shared" si="2"/>
        <v>0</v>
      </c>
      <c r="AO7" s="69">
        <f t="shared" si="3"/>
        <v>0</v>
      </c>
      <c r="AP7" s="69">
        <f t="shared" si="4"/>
        <v>0</v>
      </c>
      <c r="AQ7" s="69">
        <f t="shared" si="5"/>
        <v>0</v>
      </c>
      <c r="AR7" s="69">
        <f t="shared" si="6"/>
        <v>0</v>
      </c>
      <c r="AS7" s="69">
        <f t="shared" si="7"/>
        <v>0</v>
      </c>
      <c r="AT7" s="69">
        <f t="shared" si="8"/>
        <v>0</v>
      </c>
      <c r="AU7" s="69">
        <f t="shared" si="9"/>
        <v>0</v>
      </c>
      <c r="AV7" s="91">
        <f t="shared" si="12"/>
        <v>0</v>
      </c>
      <c r="AX7" s="90">
        <v>4</v>
      </c>
      <c r="AY7" s="90" t="s">
        <v>25</v>
      </c>
      <c r="AZ7" s="90">
        <f>AO5</f>
        <v>0</v>
      </c>
      <c r="BA7" s="90">
        <f>AO7+AO9</f>
        <v>0</v>
      </c>
      <c r="BB7" s="89" t="e">
        <f t="shared" si="13"/>
        <v>#DIV/0!</v>
      </c>
      <c r="BE7" s="112"/>
      <c r="BF7" s="112"/>
      <c r="BG7" s="113"/>
      <c r="BH7" s="114"/>
    </row>
    <row r="8" spans="1:60" ht="21">
      <c r="A8" s="55" t="s">
        <v>26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63">
        <f t="shared" si="0"/>
        <v>0</v>
      </c>
      <c r="AH8" s="63"/>
      <c r="AI8" s="63">
        <f t="shared" si="10"/>
        <v>0</v>
      </c>
      <c r="AJ8" t="s">
        <v>27</v>
      </c>
      <c r="AK8" s="68" t="s">
        <v>24</v>
      </c>
      <c r="AL8" s="69">
        <f t="shared" si="11"/>
        <v>0</v>
      </c>
      <c r="AM8" s="69">
        <f t="shared" si="1"/>
        <v>0</v>
      </c>
      <c r="AN8" s="69">
        <f t="shared" si="2"/>
        <v>0</v>
      </c>
      <c r="AO8" s="69">
        <f t="shared" si="3"/>
        <v>0</v>
      </c>
      <c r="AP8" s="69">
        <f t="shared" si="4"/>
        <v>0</v>
      </c>
      <c r="AQ8" s="69">
        <f t="shared" si="5"/>
        <v>0</v>
      </c>
      <c r="AR8" s="69">
        <f t="shared" si="6"/>
        <v>0</v>
      </c>
      <c r="AS8" s="69">
        <f t="shared" si="7"/>
        <v>0</v>
      </c>
      <c r="AT8" s="69">
        <f t="shared" si="8"/>
        <v>0</v>
      </c>
      <c r="AU8" s="69">
        <f t="shared" si="9"/>
        <v>0</v>
      </c>
      <c r="AV8" s="91">
        <f t="shared" si="12"/>
        <v>0</v>
      </c>
      <c r="AX8" s="90">
        <v>5</v>
      </c>
      <c r="AY8" s="90" t="s">
        <v>11</v>
      </c>
      <c r="AZ8" s="90">
        <f>AP5</f>
        <v>0</v>
      </c>
      <c r="BA8" s="90">
        <f>AP7+AP9</f>
        <v>0</v>
      </c>
      <c r="BB8" s="89" t="e">
        <f t="shared" si="13"/>
        <v>#DIV/0!</v>
      </c>
      <c r="BE8" s="112"/>
      <c r="BF8" s="112"/>
      <c r="BG8" s="113"/>
      <c r="BH8" s="114"/>
    </row>
    <row r="9" spans="1:60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0"/>
        <v>0</v>
      </c>
      <c r="AK9" s="68" t="s">
        <v>26</v>
      </c>
      <c r="AL9" s="69">
        <f t="shared" si="11"/>
        <v>0</v>
      </c>
      <c r="AM9" s="69">
        <f t="shared" si="1"/>
        <v>0</v>
      </c>
      <c r="AN9" s="69">
        <f t="shared" si="2"/>
        <v>0</v>
      </c>
      <c r="AO9" s="69">
        <f t="shared" si="3"/>
        <v>0</v>
      </c>
      <c r="AP9" s="69">
        <f t="shared" si="4"/>
        <v>0</v>
      </c>
      <c r="AQ9" s="69">
        <f t="shared" si="5"/>
        <v>0</v>
      </c>
      <c r="AR9" s="69">
        <f t="shared" si="6"/>
        <v>0</v>
      </c>
      <c r="AS9" s="69">
        <f t="shared" si="7"/>
        <v>0</v>
      </c>
      <c r="AT9" s="69">
        <f t="shared" si="8"/>
        <v>0</v>
      </c>
      <c r="AU9" s="69">
        <f t="shared" si="9"/>
        <v>0</v>
      </c>
      <c r="AV9" s="91">
        <f t="shared" si="12"/>
        <v>0</v>
      </c>
      <c r="AX9" s="90">
        <v>6</v>
      </c>
      <c r="AY9" s="90" t="s">
        <v>13</v>
      </c>
      <c r="AZ9" s="90">
        <f>AQ5</f>
        <v>0</v>
      </c>
      <c r="BA9" s="90">
        <f>AQ7+AQ9</f>
        <v>0</v>
      </c>
      <c r="BB9" s="89" t="e">
        <f t="shared" si="13"/>
        <v>#DIV/0!</v>
      </c>
      <c r="BE9" s="112"/>
      <c r="BF9" s="112"/>
      <c r="BG9" s="113"/>
      <c r="BH9" s="112"/>
    </row>
    <row r="10" spans="1:60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0"/>
        <v>0</v>
      </c>
      <c r="AK10" s="66" t="s">
        <v>28</v>
      </c>
      <c r="AL10" s="67">
        <f t="shared" si="11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87">
        <f t="shared" si="12"/>
        <v>0</v>
      </c>
      <c r="AX10" s="90">
        <v>7</v>
      </c>
      <c r="AY10" s="90" t="s">
        <v>125</v>
      </c>
      <c r="AZ10" s="90">
        <f>AR5</f>
        <v>0</v>
      </c>
      <c r="BA10" s="90">
        <f>AR7+AR9</f>
        <v>0</v>
      </c>
      <c r="BB10" s="89" t="e">
        <f t="shared" si="13"/>
        <v>#DIV/0!</v>
      </c>
      <c r="BE10" s="112"/>
      <c r="BF10" s="112"/>
      <c r="BG10" s="113"/>
      <c r="BH10" s="112"/>
    </row>
    <row r="11" spans="1:60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0"/>
        <v>0</v>
      </c>
      <c r="AK11" s="66" t="s">
        <v>29</v>
      </c>
      <c r="AL11" s="72">
        <f t="shared" si="11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72">
        <f t="shared" si="8"/>
        <v>0</v>
      </c>
      <c r="AU11" s="72">
        <f t="shared" si="9"/>
        <v>0</v>
      </c>
      <c r="AV11" s="92">
        <f t="shared" si="12"/>
        <v>0</v>
      </c>
      <c r="AX11" s="90">
        <v>8</v>
      </c>
      <c r="AY11" s="90" t="s">
        <v>126</v>
      </c>
      <c r="AZ11" s="90">
        <f>AS5</f>
        <v>0</v>
      </c>
      <c r="BA11" s="90">
        <f>AS7+AS9</f>
        <v>0</v>
      </c>
      <c r="BB11" s="89" t="e">
        <f t="shared" si="13"/>
        <v>#DIV/0!</v>
      </c>
      <c r="BE11" s="112"/>
      <c r="BF11" s="112"/>
      <c r="BG11" s="113"/>
      <c r="BH11" s="112"/>
    </row>
    <row r="12" spans="1:60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1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72">
        <f t="shared" si="8"/>
        <v>0</v>
      </c>
      <c r="AU12" s="72">
        <f t="shared" si="9"/>
        <v>0</v>
      </c>
      <c r="AV12" s="92">
        <f t="shared" si="12"/>
        <v>0</v>
      </c>
      <c r="AX12" s="90">
        <v>9</v>
      </c>
      <c r="AY12" s="90" t="s">
        <v>14</v>
      </c>
      <c r="AZ12" s="90">
        <f>AT5</f>
        <v>0</v>
      </c>
      <c r="BA12" s="90">
        <f>AT7+AT9</f>
        <v>0</v>
      </c>
      <c r="BB12" s="89" t="e">
        <f t="shared" si="13"/>
        <v>#DIV/0!</v>
      </c>
      <c r="BE12" s="112"/>
      <c r="BF12" s="112"/>
      <c r="BG12" s="113"/>
      <c r="BH12" s="114"/>
    </row>
    <row r="13" spans="1:60" ht="21">
      <c r="A13" s="53"/>
      <c r="B13" s="54">
        <v>45689</v>
      </c>
      <c r="C13" s="54">
        <v>45690</v>
      </c>
      <c r="D13" s="54">
        <v>45691</v>
      </c>
      <c r="E13" s="54">
        <v>45692</v>
      </c>
      <c r="F13" s="54">
        <v>45693</v>
      </c>
      <c r="G13" s="54">
        <v>45694</v>
      </c>
      <c r="H13" s="54">
        <v>45695</v>
      </c>
      <c r="I13" s="54">
        <v>45696</v>
      </c>
      <c r="J13" s="54">
        <v>45697</v>
      </c>
      <c r="K13" s="54">
        <v>45698</v>
      </c>
      <c r="L13" s="54">
        <v>45699</v>
      </c>
      <c r="M13" s="54">
        <v>45700</v>
      </c>
      <c r="N13" s="54">
        <v>45701</v>
      </c>
      <c r="O13" s="54">
        <v>45702</v>
      </c>
      <c r="P13" s="54">
        <v>45703</v>
      </c>
      <c r="Q13" s="54">
        <v>45704</v>
      </c>
      <c r="R13" s="54">
        <v>45705</v>
      </c>
      <c r="S13" s="54">
        <v>45706</v>
      </c>
      <c r="T13" s="54">
        <v>45707</v>
      </c>
      <c r="U13" s="54">
        <v>45708</v>
      </c>
      <c r="V13" s="54">
        <v>45709</v>
      </c>
      <c r="W13" s="54">
        <v>45710</v>
      </c>
      <c r="X13" s="54">
        <v>45711</v>
      </c>
      <c r="Y13" s="54">
        <v>45712</v>
      </c>
      <c r="Z13" s="54">
        <v>45713</v>
      </c>
      <c r="AA13" s="54">
        <v>45714</v>
      </c>
      <c r="AB13" s="54">
        <v>45715</v>
      </c>
      <c r="AC13" s="54">
        <v>45716</v>
      </c>
      <c r="AD13" s="54"/>
      <c r="AE13" s="54"/>
      <c r="AF13" s="54">
        <v>45657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0</v>
      </c>
      <c r="AM13" s="74">
        <f t="shared" ref="AM13:AV13" si="14">AM7+AM9</f>
        <v>0</v>
      </c>
      <c r="AN13" s="74">
        <f t="shared" si="14"/>
        <v>0</v>
      </c>
      <c r="AO13" s="74">
        <f t="shared" si="14"/>
        <v>0</v>
      </c>
      <c r="AP13" s="74">
        <f t="shared" si="14"/>
        <v>0</v>
      </c>
      <c r="AQ13" s="74">
        <f t="shared" si="14"/>
        <v>0</v>
      </c>
      <c r="AR13" s="74">
        <f t="shared" si="14"/>
        <v>0</v>
      </c>
      <c r="AS13" s="74">
        <f t="shared" si="14"/>
        <v>0</v>
      </c>
      <c r="AT13" s="74">
        <f t="shared" si="14"/>
        <v>0</v>
      </c>
      <c r="AU13" s="74">
        <f t="shared" si="14"/>
        <v>0</v>
      </c>
      <c r="AV13" s="93">
        <f t="shared" si="14"/>
        <v>0</v>
      </c>
      <c r="AX13" s="90">
        <v>10</v>
      </c>
      <c r="AY13" s="90" t="s">
        <v>15</v>
      </c>
      <c r="AZ13" s="90">
        <f>AU5</f>
        <v>0</v>
      </c>
      <c r="BA13" s="90">
        <f>AU7+AU9</f>
        <v>0</v>
      </c>
      <c r="BB13" s="89" t="e">
        <f t="shared" si="13"/>
        <v>#DIV/0!</v>
      </c>
      <c r="BE13" s="112"/>
      <c r="BF13" s="112"/>
      <c r="BG13" s="113"/>
      <c r="BH13" s="114"/>
    </row>
    <row r="14" spans="1:60" ht="21">
      <c r="A14" s="55" t="s">
        <v>5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63">
        <f>SUM(B14:AF14)</f>
        <v>0</v>
      </c>
      <c r="AH14" s="63"/>
      <c r="AI14" s="63">
        <f>AG14</f>
        <v>0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X14" s="63"/>
      <c r="AY14" s="63"/>
      <c r="AZ14" s="63"/>
      <c r="BA14" s="63"/>
      <c r="BB14" s="63"/>
      <c r="BE14" s="112"/>
      <c r="BF14" s="112"/>
      <c r="BG14" s="113"/>
      <c r="BH14" s="114"/>
    </row>
    <row r="15" spans="1:60" ht="21">
      <c r="A15" s="55" t="s">
        <v>21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63">
        <f t="shared" ref="AG15:AG22" si="15">SUM(B15:AF15)</f>
        <v>0</v>
      </c>
      <c r="AH15" s="63"/>
      <c r="AI15" s="63">
        <f>AG15+AH17+AH18+AH19</f>
        <v>0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X15" s="94" t="s">
        <v>35</v>
      </c>
      <c r="AY15" s="95" t="s">
        <v>36</v>
      </c>
      <c r="AZ15" s="95" t="s">
        <v>2</v>
      </c>
      <c r="BA15" s="95" t="s">
        <v>37</v>
      </c>
      <c r="BB15" s="96" t="s">
        <v>38</v>
      </c>
      <c r="BE15" s="112"/>
      <c r="BF15" s="112"/>
      <c r="BG15" s="113"/>
      <c r="BH15" s="112"/>
    </row>
    <row r="16" spans="1:60" ht="18.75" customHeight="1">
      <c r="A16" s="55" t="s">
        <v>22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63">
        <f t="shared" si="15"/>
        <v>0</v>
      </c>
      <c r="AH16" s="63"/>
      <c r="AI16" s="63">
        <f>AG16+AH17+AH18+AH19</f>
        <v>0</v>
      </c>
      <c r="AK16" s="265" t="s">
        <v>128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7"/>
      <c r="AX16" s="97">
        <v>100</v>
      </c>
      <c r="AY16" s="98">
        <v>0.02</v>
      </c>
      <c r="AZ16" s="63">
        <f t="shared" ref="AZ16:AZ25" si="16">AX16*AY16</f>
        <v>2</v>
      </c>
      <c r="BA16" s="63">
        <v>1</v>
      </c>
      <c r="BB16" s="99">
        <f>AZ16-BA16</f>
        <v>1</v>
      </c>
      <c r="BE16" s="112"/>
      <c r="BF16" s="112"/>
      <c r="BG16" s="113"/>
      <c r="BH16" s="114"/>
    </row>
    <row r="17" spans="1:60" ht="18.75" customHeight="1">
      <c r="A17" s="55" t="s">
        <v>23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63">
        <f t="shared" si="15"/>
        <v>0</v>
      </c>
      <c r="AH17" s="63"/>
      <c r="AI17" s="63">
        <f t="shared" ref="AI17:AI22" si="17">AG17-AH17</f>
        <v>0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70"/>
      <c r="AX17" s="97">
        <v>200</v>
      </c>
      <c r="AY17" s="98">
        <v>0.02</v>
      </c>
      <c r="AZ17" s="63">
        <f t="shared" si="16"/>
        <v>4</v>
      </c>
      <c r="BA17" s="63">
        <v>1</v>
      </c>
      <c r="BB17" s="99">
        <f t="shared" ref="BB17:BB25" si="18">AZ17-BA17</f>
        <v>3</v>
      </c>
      <c r="BE17" s="112"/>
      <c r="BF17" s="112"/>
      <c r="BG17" s="113"/>
      <c r="BH17" s="112"/>
    </row>
    <row r="18" spans="1:60" ht="23.25">
      <c r="A18" s="55" t="s">
        <v>24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63">
        <f t="shared" si="15"/>
        <v>0</v>
      </c>
      <c r="AH18" s="63"/>
      <c r="AI18" s="63">
        <f t="shared" si="17"/>
        <v>0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76" t="s">
        <v>14</v>
      </c>
      <c r="AU18" s="76" t="s">
        <v>15</v>
      </c>
      <c r="AV18" s="100" t="s">
        <v>2</v>
      </c>
      <c r="AX18" s="97">
        <v>300</v>
      </c>
      <c r="AY18" s="98">
        <v>0.02</v>
      </c>
      <c r="AZ18" s="63">
        <f t="shared" si="16"/>
        <v>6</v>
      </c>
      <c r="BA18" s="63">
        <v>1</v>
      </c>
      <c r="BB18" s="99">
        <f t="shared" si="18"/>
        <v>5</v>
      </c>
      <c r="BE18" s="115"/>
      <c r="BF18" s="115"/>
      <c r="BG18" s="115"/>
      <c r="BH18" s="112"/>
    </row>
    <row r="19" spans="1:60" ht="23.25">
      <c r="A19" s="55" t="s">
        <v>26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63">
        <f t="shared" si="15"/>
        <v>0</v>
      </c>
      <c r="AH19" s="63"/>
      <c r="AI19" s="63">
        <f t="shared" si="17"/>
        <v>0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101"/>
      <c r="AX19" s="97">
        <v>400</v>
      </c>
      <c r="AY19" s="98">
        <v>0.02</v>
      </c>
      <c r="AZ19" s="63">
        <f t="shared" si="16"/>
        <v>8</v>
      </c>
      <c r="BA19" s="63">
        <v>1</v>
      </c>
      <c r="BB19" s="99">
        <f t="shared" si="18"/>
        <v>7</v>
      </c>
      <c r="BE19" s="112"/>
      <c r="BF19" s="112"/>
      <c r="BG19" s="113"/>
      <c r="BH19" s="116"/>
    </row>
    <row r="20" spans="1:60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5"/>
        <v>0</v>
      </c>
      <c r="AH20" s="70"/>
      <c r="AI20" s="63">
        <f t="shared" si="17"/>
        <v>0</v>
      </c>
      <c r="AK20" s="77" t="s">
        <v>40</v>
      </c>
      <c r="AL20" s="79" t="e">
        <f>+AL5/AL4</f>
        <v>#DIV/0!</v>
      </c>
      <c r="AM20" s="79" t="e">
        <f t="shared" ref="AM20:AV21" si="19">+AM5/AM4</f>
        <v>#DIV/0!</v>
      </c>
      <c r="AN20" s="79" t="e">
        <f t="shared" si="19"/>
        <v>#DIV/0!</v>
      </c>
      <c r="AO20" s="79" t="e">
        <f t="shared" si="19"/>
        <v>#DIV/0!</v>
      </c>
      <c r="AP20" s="79" t="e">
        <f t="shared" si="19"/>
        <v>#DIV/0!</v>
      </c>
      <c r="AQ20" s="79" t="e">
        <f t="shared" si="19"/>
        <v>#DIV/0!</v>
      </c>
      <c r="AR20" s="79" t="e">
        <f t="shared" si="19"/>
        <v>#DIV/0!</v>
      </c>
      <c r="AS20" s="79" t="e">
        <f t="shared" si="19"/>
        <v>#DIV/0!</v>
      </c>
      <c r="AT20" s="79" t="e">
        <f t="shared" si="19"/>
        <v>#DIV/0!</v>
      </c>
      <c r="AU20" s="79" t="e">
        <f t="shared" si="19"/>
        <v>#DIV/0!</v>
      </c>
      <c r="AV20" s="102" t="e">
        <f t="shared" si="19"/>
        <v>#DIV/0!</v>
      </c>
      <c r="AX20" s="97">
        <v>500</v>
      </c>
      <c r="AY20" s="98">
        <v>0.02</v>
      </c>
      <c r="AZ20" s="63">
        <f t="shared" si="16"/>
        <v>10</v>
      </c>
      <c r="BA20" s="63">
        <v>1</v>
      </c>
      <c r="BB20" s="99">
        <f t="shared" si="18"/>
        <v>9</v>
      </c>
      <c r="BE20" s="112"/>
      <c r="BF20" s="112"/>
      <c r="BG20" s="113"/>
      <c r="BH20" s="116"/>
    </row>
    <row r="21" spans="1:60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5"/>
        <v>0</v>
      </c>
      <c r="AH21" s="71"/>
      <c r="AI21" s="63">
        <f t="shared" si="17"/>
        <v>0</v>
      </c>
      <c r="AK21" s="77" t="s">
        <v>41</v>
      </c>
      <c r="AL21" s="79" t="e">
        <f>+AL6/AL5</f>
        <v>#DIV/0!</v>
      </c>
      <c r="AM21" s="79" t="e">
        <f t="shared" si="19"/>
        <v>#DIV/0!</v>
      </c>
      <c r="AN21" s="79" t="e">
        <f t="shared" si="19"/>
        <v>#DIV/0!</v>
      </c>
      <c r="AO21" s="79" t="e">
        <f t="shared" si="19"/>
        <v>#DIV/0!</v>
      </c>
      <c r="AP21" s="79" t="e">
        <f t="shared" si="19"/>
        <v>#DIV/0!</v>
      </c>
      <c r="AQ21" s="79" t="e">
        <f t="shared" si="19"/>
        <v>#DIV/0!</v>
      </c>
      <c r="AR21" s="79" t="e">
        <f t="shared" si="19"/>
        <v>#DIV/0!</v>
      </c>
      <c r="AS21" s="79" t="e">
        <f t="shared" si="19"/>
        <v>#DIV/0!</v>
      </c>
      <c r="AT21" s="79" t="e">
        <f t="shared" si="19"/>
        <v>#DIV/0!</v>
      </c>
      <c r="AU21" s="79" t="e">
        <f t="shared" si="19"/>
        <v>#DIV/0!</v>
      </c>
      <c r="AV21" s="102" t="e">
        <f t="shared" si="19"/>
        <v>#DIV/0!</v>
      </c>
      <c r="AX21" s="97">
        <v>600</v>
      </c>
      <c r="AY21" s="98">
        <v>0.02</v>
      </c>
      <c r="AZ21" s="63">
        <f t="shared" si="16"/>
        <v>12</v>
      </c>
      <c r="BA21" s="63">
        <v>1</v>
      </c>
      <c r="BB21" s="99">
        <f t="shared" si="18"/>
        <v>11</v>
      </c>
      <c r="BE21" s="112"/>
      <c r="BF21" s="112"/>
      <c r="BG21" s="113"/>
      <c r="BH21" s="116"/>
    </row>
    <row r="22" spans="1:60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5"/>
        <v>0</v>
      </c>
      <c r="AH22" s="63"/>
      <c r="AI22" s="63">
        <f t="shared" si="17"/>
        <v>0</v>
      </c>
      <c r="AK22" s="77" t="s">
        <v>23</v>
      </c>
      <c r="AL22" s="79" t="e">
        <f>AL7/AL5</f>
        <v>#DIV/0!</v>
      </c>
      <c r="AM22" s="79" t="e">
        <f t="shared" ref="AM22:AV22" si="20">AM7/AM5</f>
        <v>#DIV/0!</v>
      </c>
      <c r="AN22" s="79" t="e">
        <f t="shared" si="20"/>
        <v>#DIV/0!</v>
      </c>
      <c r="AO22" s="79" t="e">
        <f t="shared" si="20"/>
        <v>#DIV/0!</v>
      </c>
      <c r="AP22" s="79" t="e">
        <f t="shared" si="20"/>
        <v>#DIV/0!</v>
      </c>
      <c r="AQ22" s="79" t="e">
        <f t="shared" si="20"/>
        <v>#DIV/0!</v>
      </c>
      <c r="AR22" s="79" t="e">
        <f t="shared" si="20"/>
        <v>#DIV/0!</v>
      </c>
      <c r="AS22" s="79" t="e">
        <f t="shared" si="20"/>
        <v>#DIV/0!</v>
      </c>
      <c r="AT22" s="79" t="e">
        <f t="shared" si="20"/>
        <v>#DIV/0!</v>
      </c>
      <c r="AU22" s="79" t="e">
        <f t="shared" si="20"/>
        <v>#DIV/0!</v>
      </c>
      <c r="AV22" s="102" t="e">
        <f t="shared" si="20"/>
        <v>#DIV/0!</v>
      </c>
      <c r="AX22" s="97">
        <v>700</v>
      </c>
      <c r="AY22" s="98">
        <v>0.02</v>
      </c>
      <c r="AZ22" s="63">
        <f t="shared" si="16"/>
        <v>14</v>
      </c>
      <c r="BA22" s="63">
        <v>1</v>
      </c>
      <c r="BB22" s="99">
        <f t="shared" si="18"/>
        <v>13</v>
      </c>
      <c r="BE22" s="112"/>
      <c r="BF22" s="112"/>
      <c r="BG22" s="113"/>
      <c r="BH22" s="116"/>
    </row>
    <row r="23" spans="1:60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 t="e">
        <f>AL8/AL5</f>
        <v>#DIV/0!</v>
      </c>
      <c r="AM23" s="79" t="e">
        <f t="shared" ref="AM23:AV23" si="21">AM8/AM5</f>
        <v>#DIV/0!</v>
      </c>
      <c r="AN23" s="79" t="e">
        <f t="shared" si="21"/>
        <v>#DIV/0!</v>
      </c>
      <c r="AO23" s="79" t="e">
        <f t="shared" si="21"/>
        <v>#DIV/0!</v>
      </c>
      <c r="AP23" s="79" t="e">
        <f t="shared" si="21"/>
        <v>#DIV/0!</v>
      </c>
      <c r="AQ23" s="79" t="e">
        <f t="shared" si="21"/>
        <v>#DIV/0!</v>
      </c>
      <c r="AR23" s="79" t="e">
        <f t="shared" si="21"/>
        <v>#DIV/0!</v>
      </c>
      <c r="AS23" s="79" t="e">
        <f t="shared" si="21"/>
        <v>#DIV/0!</v>
      </c>
      <c r="AT23" s="79" t="e">
        <f t="shared" si="21"/>
        <v>#DIV/0!</v>
      </c>
      <c r="AU23" s="79" t="e">
        <f t="shared" si="21"/>
        <v>#DIV/0!</v>
      </c>
      <c r="AV23" s="102" t="e">
        <f t="shared" si="21"/>
        <v>#DIV/0!</v>
      </c>
      <c r="AX23" s="97">
        <v>800</v>
      </c>
      <c r="AY23" s="98">
        <v>0.02</v>
      </c>
      <c r="AZ23" s="63">
        <f t="shared" si="16"/>
        <v>16</v>
      </c>
      <c r="BA23" s="63">
        <v>1</v>
      </c>
      <c r="BB23" s="99">
        <f t="shared" si="18"/>
        <v>15</v>
      </c>
      <c r="BE23" s="112"/>
      <c r="BF23" s="112"/>
      <c r="BG23" s="113"/>
      <c r="BH23" s="112"/>
    </row>
    <row r="24" spans="1:60" ht="23.25">
      <c r="A24" s="53"/>
      <c r="B24" s="54">
        <v>45689</v>
      </c>
      <c r="C24" s="54">
        <v>45690</v>
      </c>
      <c r="D24" s="54">
        <v>45691</v>
      </c>
      <c r="E24" s="54">
        <v>45692</v>
      </c>
      <c r="F24" s="54">
        <v>45693</v>
      </c>
      <c r="G24" s="54">
        <v>45694</v>
      </c>
      <c r="H24" s="54">
        <v>45695</v>
      </c>
      <c r="I24" s="54">
        <v>45696</v>
      </c>
      <c r="J24" s="54">
        <v>45697</v>
      </c>
      <c r="K24" s="54">
        <v>45698</v>
      </c>
      <c r="L24" s="54">
        <v>45699</v>
      </c>
      <c r="M24" s="54">
        <v>45700</v>
      </c>
      <c r="N24" s="54">
        <v>45701</v>
      </c>
      <c r="O24" s="54">
        <v>45702</v>
      </c>
      <c r="P24" s="54">
        <v>45703</v>
      </c>
      <c r="Q24" s="54">
        <v>45704</v>
      </c>
      <c r="R24" s="54">
        <v>45705</v>
      </c>
      <c r="S24" s="54">
        <v>45706</v>
      </c>
      <c r="T24" s="54">
        <v>45707</v>
      </c>
      <c r="U24" s="54">
        <v>45708</v>
      </c>
      <c r="V24" s="54">
        <v>45709</v>
      </c>
      <c r="W24" s="54">
        <v>45710</v>
      </c>
      <c r="X24" s="54">
        <v>45711</v>
      </c>
      <c r="Y24" s="54">
        <v>45712</v>
      </c>
      <c r="Z24" s="54">
        <v>45713</v>
      </c>
      <c r="AA24" s="54">
        <v>45714</v>
      </c>
      <c r="AB24" s="54">
        <v>45715</v>
      </c>
      <c r="AC24" s="54">
        <v>45716</v>
      </c>
      <c r="AD24" s="54"/>
      <c r="AE24" s="54"/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79" t="e">
        <f>AL9/AL5</f>
        <v>#DIV/0!</v>
      </c>
      <c r="AM24" s="79" t="e">
        <f t="shared" ref="AM24:AV24" si="22">AM9/AM5</f>
        <v>#DIV/0!</v>
      </c>
      <c r="AN24" s="79" t="e">
        <f t="shared" si="22"/>
        <v>#DIV/0!</v>
      </c>
      <c r="AO24" s="79" t="e">
        <f t="shared" si="22"/>
        <v>#DIV/0!</v>
      </c>
      <c r="AP24" s="79" t="e">
        <f t="shared" si="22"/>
        <v>#DIV/0!</v>
      </c>
      <c r="AQ24" s="79" t="e">
        <f t="shared" si="22"/>
        <v>#DIV/0!</v>
      </c>
      <c r="AR24" s="79" t="e">
        <f t="shared" si="22"/>
        <v>#DIV/0!</v>
      </c>
      <c r="AS24" s="79" t="e">
        <f t="shared" si="22"/>
        <v>#DIV/0!</v>
      </c>
      <c r="AT24" s="79" t="e">
        <f t="shared" si="22"/>
        <v>#DIV/0!</v>
      </c>
      <c r="AU24" s="79" t="e">
        <f t="shared" si="22"/>
        <v>#DIV/0!</v>
      </c>
      <c r="AV24" s="102" t="e">
        <f t="shared" si="22"/>
        <v>#DIV/0!</v>
      </c>
      <c r="AX24" s="97">
        <v>900</v>
      </c>
      <c r="AY24" s="98">
        <v>0.02</v>
      </c>
      <c r="AZ24" s="63">
        <f t="shared" si="16"/>
        <v>18</v>
      </c>
      <c r="BA24" s="63">
        <v>1</v>
      </c>
      <c r="BB24" s="99">
        <f t="shared" si="18"/>
        <v>17</v>
      </c>
      <c r="BE24" s="117"/>
      <c r="BF24" s="117"/>
      <c r="BG24" s="118"/>
      <c r="BH24" s="112"/>
    </row>
    <row r="25" spans="1:60" ht="23.25">
      <c r="A25" s="55" t="s">
        <v>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63">
        <f>SUM(B25:AF25)</f>
        <v>0</v>
      </c>
      <c r="AH25" s="63"/>
      <c r="AI25" s="63">
        <f>AG25</f>
        <v>0</v>
      </c>
      <c r="AK25" s="77" t="s">
        <v>28</v>
      </c>
      <c r="AL25" s="79" t="e">
        <f t="shared" ref="AL25:AV27" si="23">AL10/AL6</f>
        <v>#DIV/0!</v>
      </c>
      <c r="AM25" s="79" t="e">
        <f t="shared" si="23"/>
        <v>#DIV/0!</v>
      </c>
      <c r="AN25" s="79" t="e">
        <f t="shared" si="23"/>
        <v>#DIV/0!</v>
      </c>
      <c r="AO25" s="79" t="e">
        <f t="shared" si="23"/>
        <v>#DIV/0!</v>
      </c>
      <c r="AP25" s="79" t="e">
        <f t="shared" si="23"/>
        <v>#DIV/0!</v>
      </c>
      <c r="AQ25" s="79" t="e">
        <f t="shared" si="23"/>
        <v>#DIV/0!</v>
      </c>
      <c r="AR25" s="79" t="e">
        <f t="shared" si="23"/>
        <v>#DIV/0!</v>
      </c>
      <c r="AS25" s="79" t="e">
        <f t="shared" si="23"/>
        <v>#DIV/0!</v>
      </c>
      <c r="AT25" s="79" t="e">
        <f t="shared" si="23"/>
        <v>#DIV/0!</v>
      </c>
      <c r="AU25" s="79" t="e">
        <f t="shared" si="23"/>
        <v>#DIV/0!</v>
      </c>
      <c r="AV25" s="102" t="e">
        <f t="shared" si="23"/>
        <v>#DIV/0!</v>
      </c>
      <c r="AX25" s="103">
        <v>1000</v>
      </c>
      <c r="AY25" s="104">
        <v>0.02</v>
      </c>
      <c r="AZ25" s="105">
        <f t="shared" si="16"/>
        <v>20</v>
      </c>
      <c r="BA25" s="105">
        <v>1</v>
      </c>
      <c r="BB25" s="106">
        <f t="shared" si="18"/>
        <v>19</v>
      </c>
      <c r="BE25" s="117"/>
      <c r="BF25" s="117"/>
      <c r="BG25" s="118"/>
      <c r="BH25" s="114"/>
    </row>
    <row r="26" spans="1:60" ht="23.25">
      <c r="A26" s="55" t="s">
        <v>21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63">
        <f t="shared" ref="AG26:AG33" si="24">SUM(B26:AF26)</f>
        <v>0</v>
      </c>
      <c r="AH26" s="63"/>
      <c r="AI26" s="63">
        <f>AG26+AH28+AH29+AH30</f>
        <v>0</v>
      </c>
      <c r="AK26" s="77" t="s">
        <v>29</v>
      </c>
      <c r="AL26" s="79" t="e">
        <f t="shared" si="23"/>
        <v>#DIV/0!</v>
      </c>
      <c r="AM26" s="79" t="e">
        <f t="shared" si="23"/>
        <v>#DIV/0!</v>
      </c>
      <c r="AN26" s="79" t="e">
        <f t="shared" si="23"/>
        <v>#DIV/0!</v>
      </c>
      <c r="AO26" s="79" t="e">
        <f t="shared" si="23"/>
        <v>#DIV/0!</v>
      </c>
      <c r="AP26" s="79" t="e">
        <f t="shared" si="23"/>
        <v>#DIV/0!</v>
      </c>
      <c r="AQ26" s="79" t="e">
        <f t="shared" si="23"/>
        <v>#DIV/0!</v>
      </c>
      <c r="AR26" s="79" t="e">
        <f t="shared" si="23"/>
        <v>#DIV/0!</v>
      </c>
      <c r="AS26" s="79" t="e">
        <f t="shared" si="23"/>
        <v>#DIV/0!</v>
      </c>
      <c r="AT26" s="79" t="e">
        <f t="shared" si="23"/>
        <v>#DIV/0!</v>
      </c>
      <c r="AU26" s="79" t="e">
        <f t="shared" si="23"/>
        <v>#DIV/0!</v>
      </c>
      <c r="AV26" s="102" t="e">
        <f t="shared" si="23"/>
        <v>#DIV/0!</v>
      </c>
      <c r="AX26" s="63"/>
      <c r="AY26" s="63"/>
      <c r="AZ26" s="63"/>
      <c r="BA26" s="63"/>
      <c r="BB26" s="63"/>
      <c r="BE26" s="117"/>
      <c r="BF26" s="117"/>
      <c r="BG26" s="118"/>
      <c r="BH26" s="119"/>
    </row>
    <row r="27" spans="1:60" ht="23.25">
      <c r="A27" s="55" t="s">
        <v>22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63">
        <f t="shared" si="24"/>
        <v>0</v>
      </c>
      <c r="AH27" s="63"/>
      <c r="AI27" s="63">
        <f>AG27+AH28+AH29+AH30</f>
        <v>0</v>
      </c>
      <c r="AK27" s="77" t="s">
        <v>31</v>
      </c>
      <c r="AL27" s="79" t="e">
        <f t="shared" si="23"/>
        <v>#DIV/0!</v>
      </c>
      <c r="AM27" s="79" t="e">
        <f t="shared" si="23"/>
        <v>#DIV/0!</v>
      </c>
      <c r="AN27" s="79" t="e">
        <f t="shared" si="23"/>
        <v>#DIV/0!</v>
      </c>
      <c r="AO27" s="79" t="e">
        <f t="shared" si="23"/>
        <v>#DIV/0!</v>
      </c>
      <c r="AP27" s="79" t="e">
        <f t="shared" si="23"/>
        <v>#DIV/0!</v>
      </c>
      <c r="AQ27" s="79" t="e">
        <f t="shared" si="23"/>
        <v>#DIV/0!</v>
      </c>
      <c r="AR27" s="79" t="e">
        <f t="shared" si="23"/>
        <v>#DIV/0!</v>
      </c>
      <c r="AS27" s="79" t="e">
        <f t="shared" si="23"/>
        <v>#DIV/0!</v>
      </c>
      <c r="AT27" s="79" t="e">
        <f t="shared" si="23"/>
        <v>#DIV/0!</v>
      </c>
      <c r="AU27" s="79" t="e">
        <f>AU12/AU8</f>
        <v>#DIV/0!</v>
      </c>
      <c r="AV27" s="102" t="e">
        <f>AV12/AV8</f>
        <v>#DIV/0!</v>
      </c>
      <c r="AX27" s="108" t="s">
        <v>44</v>
      </c>
      <c r="AY27" s="271" t="s">
        <v>45</v>
      </c>
      <c r="AZ27" s="272"/>
      <c r="BA27" s="63"/>
      <c r="BB27" s="63"/>
      <c r="BE27" s="117"/>
      <c r="BF27" s="117"/>
      <c r="BG27" s="118"/>
      <c r="BH27" s="114"/>
    </row>
    <row r="28" spans="1:60" ht="23.25">
      <c r="A28" s="55" t="s">
        <v>23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63">
        <f t="shared" si="24"/>
        <v>0</v>
      </c>
      <c r="AH28" s="63"/>
      <c r="AI28" s="63">
        <f t="shared" ref="AI28:AI33" si="25">AG28-AH28</f>
        <v>0</v>
      </c>
      <c r="AK28" s="80" t="s">
        <v>34</v>
      </c>
      <c r="AL28" s="81" t="e">
        <f>AL13/AL9</f>
        <v>#DIV/0!</v>
      </c>
      <c r="AM28" s="81" t="e">
        <f t="shared" ref="AM28:AV28" si="26">AM13/AM9</f>
        <v>#DIV/0!</v>
      </c>
      <c r="AN28" s="81" t="e">
        <f t="shared" si="26"/>
        <v>#DIV/0!</v>
      </c>
      <c r="AO28" s="81" t="e">
        <f t="shared" si="26"/>
        <v>#DIV/0!</v>
      </c>
      <c r="AP28" s="81" t="e">
        <f t="shared" si="26"/>
        <v>#DIV/0!</v>
      </c>
      <c r="AQ28" s="81" t="e">
        <f t="shared" si="26"/>
        <v>#DIV/0!</v>
      </c>
      <c r="AR28" s="81" t="e">
        <f t="shared" si="26"/>
        <v>#DIV/0!</v>
      </c>
      <c r="AS28" s="81" t="e">
        <f t="shared" si="26"/>
        <v>#DIV/0!</v>
      </c>
      <c r="AT28" s="81" t="e">
        <f t="shared" si="26"/>
        <v>#DIV/0!</v>
      </c>
      <c r="AU28" s="81" t="e">
        <f t="shared" si="26"/>
        <v>#DIV/0!</v>
      </c>
      <c r="AV28" s="107" t="e">
        <f t="shared" si="26"/>
        <v>#DIV/0!</v>
      </c>
      <c r="AX28" s="97" t="s">
        <v>46</v>
      </c>
      <c r="AY28" s="273">
        <v>100</v>
      </c>
      <c r="AZ28" s="274"/>
      <c r="BA28" s="109"/>
      <c r="BB28" s="109"/>
      <c r="BE28" s="112"/>
      <c r="BF28" s="112"/>
      <c r="BG28" s="113"/>
      <c r="BH28" s="112"/>
    </row>
    <row r="29" spans="1:60" ht="21">
      <c r="A29" s="55" t="s">
        <v>24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63">
        <f t="shared" si="24"/>
        <v>0</v>
      </c>
      <c r="AH29" s="63"/>
      <c r="AI29" s="63">
        <f t="shared" si="25"/>
        <v>0</v>
      </c>
      <c r="AR29" s="82"/>
      <c r="AS29" s="83"/>
      <c r="AT29" s="82"/>
      <c r="AU29" s="82"/>
      <c r="AX29" s="103" t="s">
        <v>47</v>
      </c>
      <c r="AY29" s="275">
        <v>50</v>
      </c>
      <c r="AZ29" s="276"/>
      <c r="BA29" s="63"/>
      <c r="BB29" s="63"/>
      <c r="BE29" s="112"/>
      <c r="BF29" s="112"/>
      <c r="BG29" s="113"/>
      <c r="BH29" s="114"/>
    </row>
    <row r="30" spans="1:60" ht="21">
      <c r="A30" s="55" t="s">
        <v>26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63">
        <f t="shared" si="24"/>
        <v>0</v>
      </c>
      <c r="AH30" s="63"/>
      <c r="AI30" s="63">
        <f t="shared" si="25"/>
        <v>0</v>
      </c>
      <c r="AN30" s="82"/>
      <c r="BE30" s="112"/>
      <c r="BF30" s="112"/>
      <c r="BG30" s="113"/>
      <c r="BH30" s="114"/>
    </row>
    <row r="31" spans="1:60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4"/>
        <v>0</v>
      </c>
      <c r="AH31" s="70"/>
      <c r="AI31" s="63">
        <f t="shared" si="25"/>
        <v>0</v>
      </c>
      <c r="AO31" s="82"/>
      <c r="BE31" s="112"/>
      <c r="BF31" s="112"/>
      <c r="BG31" s="113"/>
      <c r="BH31" s="114"/>
    </row>
    <row r="32" spans="1:60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4"/>
        <v>0</v>
      </c>
      <c r="AH32" s="71"/>
      <c r="AI32" s="63">
        <f t="shared" si="25"/>
        <v>0</v>
      </c>
      <c r="AN32" s="82"/>
      <c r="BE32" s="112"/>
      <c r="BF32" s="112"/>
      <c r="BG32" s="113"/>
      <c r="BH32" s="112"/>
    </row>
    <row r="33" spans="1:60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4"/>
        <v>0</v>
      </c>
      <c r="AH33" s="63"/>
      <c r="AI33" s="63">
        <f t="shared" si="25"/>
        <v>0</v>
      </c>
      <c r="AM33" s="82"/>
      <c r="BE33" s="112"/>
      <c r="BF33" s="112"/>
      <c r="BG33" s="113"/>
      <c r="BH33" s="114"/>
    </row>
    <row r="34" spans="1:60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E34" s="112"/>
      <c r="BF34" s="112"/>
      <c r="BG34" s="113"/>
      <c r="BH34" s="114"/>
    </row>
    <row r="35" spans="1:60" ht="21">
      <c r="A35" s="53"/>
      <c r="B35" s="54">
        <v>45689</v>
      </c>
      <c r="C35" s="54">
        <v>45690</v>
      </c>
      <c r="D35" s="54">
        <v>45691</v>
      </c>
      <c r="E35" s="54">
        <v>45692</v>
      </c>
      <c r="F35" s="54">
        <v>45693</v>
      </c>
      <c r="G35" s="54">
        <v>45694</v>
      </c>
      <c r="H35" s="54">
        <v>45695</v>
      </c>
      <c r="I35" s="54">
        <v>45696</v>
      </c>
      <c r="J35" s="54">
        <v>45697</v>
      </c>
      <c r="K35" s="54">
        <v>45698</v>
      </c>
      <c r="L35" s="54">
        <v>45699</v>
      </c>
      <c r="M35" s="54">
        <v>45700</v>
      </c>
      <c r="N35" s="54">
        <v>45701</v>
      </c>
      <c r="O35" s="54">
        <v>45702</v>
      </c>
      <c r="P35" s="54">
        <v>45703</v>
      </c>
      <c r="Q35" s="54">
        <v>45704</v>
      </c>
      <c r="R35" s="54">
        <v>45705</v>
      </c>
      <c r="S35" s="54">
        <v>45706</v>
      </c>
      <c r="T35" s="54">
        <v>45707</v>
      </c>
      <c r="U35" s="54">
        <v>45708</v>
      </c>
      <c r="V35" s="54">
        <v>45709</v>
      </c>
      <c r="W35" s="54">
        <v>45710</v>
      </c>
      <c r="X35" s="54">
        <v>45711</v>
      </c>
      <c r="Y35" s="54">
        <v>45712</v>
      </c>
      <c r="Z35" s="54">
        <v>45713</v>
      </c>
      <c r="AA35" s="54">
        <v>45714</v>
      </c>
      <c r="AB35" s="54">
        <v>45715</v>
      </c>
      <c r="AC35" s="54">
        <v>45716</v>
      </c>
      <c r="AD35" s="54"/>
      <c r="AE35" s="54"/>
      <c r="AF35" s="54"/>
      <c r="AG35" s="61" t="s">
        <v>2</v>
      </c>
      <c r="AH35" s="61" t="s">
        <v>49</v>
      </c>
      <c r="AI35" s="62" t="s">
        <v>50</v>
      </c>
      <c r="AM35" s="82"/>
      <c r="BE35" s="112"/>
      <c r="BF35" s="112"/>
      <c r="BG35" s="113"/>
      <c r="BH35" s="116"/>
    </row>
    <row r="36" spans="1:60" ht="21">
      <c r="A36" s="55" t="s">
        <v>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63">
        <f>SUM(B36:AF36)</f>
        <v>0</v>
      </c>
      <c r="AH36" s="63"/>
      <c r="AI36" s="63">
        <f>AG36</f>
        <v>0</v>
      </c>
      <c r="AN36" s="82"/>
      <c r="BE36" s="112"/>
      <c r="BF36" s="112"/>
      <c r="BG36" s="113"/>
      <c r="BH36" s="116"/>
    </row>
    <row r="37" spans="1:60" ht="21">
      <c r="A37" s="55" t="s">
        <v>21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63">
        <f t="shared" ref="AG37:AG44" si="27">SUM(B37:AF37)</f>
        <v>0</v>
      </c>
      <c r="AH37" s="63"/>
      <c r="AI37" s="63">
        <f>AG37+AH39+AH40+AH41</f>
        <v>0</v>
      </c>
      <c r="AM37" s="82"/>
      <c r="AO37" s="82"/>
      <c r="BE37" s="112"/>
      <c r="BF37" s="112"/>
      <c r="BG37" s="113"/>
      <c r="BH37" s="116"/>
    </row>
    <row r="38" spans="1:60" ht="21">
      <c r="A38" s="55" t="s">
        <v>22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63">
        <f t="shared" si="27"/>
        <v>0</v>
      </c>
      <c r="AH38" s="63"/>
      <c r="AI38" s="63">
        <f>AG38+AH39+AH40+AH41</f>
        <v>0</v>
      </c>
      <c r="AM38" s="82"/>
      <c r="BE38" s="112"/>
      <c r="BF38" s="112"/>
      <c r="BG38" s="116"/>
      <c r="BH38" s="114"/>
    </row>
    <row r="39" spans="1:60" ht="21">
      <c r="A39" s="55" t="s">
        <v>23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63">
        <f t="shared" si="27"/>
        <v>0</v>
      </c>
      <c r="AH39" s="63"/>
      <c r="AI39" s="63">
        <f t="shared" ref="AI39:AI44" si="28">AG39-AH39</f>
        <v>0</v>
      </c>
      <c r="AM39" s="82"/>
    </row>
    <row r="40" spans="1:60" ht="21">
      <c r="A40" s="55" t="s">
        <v>24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63">
        <f t="shared" si="27"/>
        <v>0</v>
      </c>
      <c r="AH40" s="63"/>
      <c r="AI40" s="63">
        <f t="shared" si="28"/>
        <v>0</v>
      </c>
      <c r="AN40" s="82"/>
    </row>
    <row r="41" spans="1:60" ht="21">
      <c r="A41" s="55" t="s">
        <v>26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63">
        <f t="shared" si="27"/>
        <v>0</v>
      </c>
      <c r="AH41" s="63"/>
      <c r="AI41" s="63">
        <f t="shared" si="28"/>
        <v>0</v>
      </c>
    </row>
    <row r="42" spans="1:60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7"/>
        <v>0</v>
      </c>
      <c r="AH42" s="70"/>
      <c r="AI42" s="63">
        <f t="shared" si="28"/>
        <v>0</v>
      </c>
    </row>
    <row r="43" spans="1:60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7"/>
        <v>0</v>
      </c>
      <c r="AH43" s="71"/>
      <c r="AI43" s="63">
        <f t="shared" si="28"/>
        <v>0</v>
      </c>
    </row>
    <row r="44" spans="1:60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7"/>
        <v>0</v>
      </c>
      <c r="AH44" s="63"/>
      <c r="AI44" s="63">
        <f t="shared" si="28"/>
        <v>0</v>
      </c>
    </row>
    <row r="45" spans="1:60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0" ht="21">
      <c r="A46" s="53"/>
      <c r="B46" s="54">
        <v>45689</v>
      </c>
      <c r="C46" s="54">
        <v>45690</v>
      </c>
      <c r="D46" s="54">
        <v>45691</v>
      </c>
      <c r="E46" s="54">
        <v>45692</v>
      </c>
      <c r="F46" s="54">
        <v>45693</v>
      </c>
      <c r="G46" s="54">
        <v>45694</v>
      </c>
      <c r="H46" s="54">
        <v>45695</v>
      </c>
      <c r="I46" s="54">
        <v>45696</v>
      </c>
      <c r="J46" s="54">
        <v>45697</v>
      </c>
      <c r="K46" s="54">
        <v>45698</v>
      </c>
      <c r="L46" s="54">
        <v>45699</v>
      </c>
      <c r="M46" s="54">
        <v>45700</v>
      </c>
      <c r="N46" s="54">
        <v>45701</v>
      </c>
      <c r="O46" s="54">
        <v>45702</v>
      </c>
      <c r="P46" s="54">
        <v>45703</v>
      </c>
      <c r="Q46" s="54">
        <v>45704</v>
      </c>
      <c r="R46" s="54">
        <v>45705</v>
      </c>
      <c r="S46" s="54">
        <v>45706</v>
      </c>
      <c r="T46" s="54">
        <v>45707</v>
      </c>
      <c r="U46" s="54">
        <v>45708</v>
      </c>
      <c r="V46" s="54">
        <v>45709</v>
      </c>
      <c r="W46" s="54">
        <v>45710</v>
      </c>
      <c r="X46" s="54">
        <v>45711</v>
      </c>
      <c r="Y46" s="54">
        <v>45712</v>
      </c>
      <c r="Z46" s="54">
        <v>45713</v>
      </c>
      <c r="AA46" s="54">
        <v>45714</v>
      </c>
      <c r="AB46" s="54">
        <v>45715</v>
      </c>
      <c r="AC46" s="54">
        <v>45716</v>
      </c>
      <c r="AD46" s="54"/>
      <c r="AE46" s="54"/>
      <c r="AF46" s="54"/>
      <c r="AG46" s="61" t="s">
        <v>2</v>
      </c>
      <c r="AH46" s="61" t="s">
        <v>3</v>
      </c>
      <c r="AI46" s="62" t="s">
        <v>52</v>
      </c>
    </row>
    <row r="47" spans="1:60" ht="21">
      <c r="A47" s="55" t="s">
        <v>5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63">
        <f>SUM(B47:AF47)</f>
        <v>0</v>
      </c>
      <c r="AH47" s="63"/>
      <c r="AI47" s="63">
        <f>AG47</f>
        <v>0</v>
      </c>
    </row>
    <row r="48" spans="1:60" ht="21">
      <c r="A48" s="55" t="s">
        <v>21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63">
        <f t="shared" ref="AG48:AG55" si="29">SUM(B48:AF48)</f>
        <v>0</v>
      </c>
      <c r="AH48" s="63"/>
      <c r="AI48" s="63">
        <f>AG48+AH50+AH51+AH52</f>
        <v>0</v>
      </c>
    </row>
    <row r="49" spans="1:35" ht="21">
      <c r="A49" s="55" t="s">
        <v>22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63">
        <f t="shared" si="29"/>
        <v>0</v>
      </c>
      <c r="AH49" s="63"/>
      <c r="AI49" s="63">
        <f>AG49+AH50+AH51+AH52</f>
        <v>0</v>
      </c>
    </row>
    <row r="50" spans="1:35" ht="21">
      <c r="A50" s="55" t="s">
        <v>23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63">
        <f t="shared" si="29"/>
        <v>0</v>
      </c>
      <c r="AH50" s="63"/>
      <c r="AI50" s="63">
        <f t="shared" ref="AI50:AI55" si="30">AG50-AH50</f>
        <v>0</v>
      </c>
    </row>
    <row r="51" spans="1:35" ht="21">
      <c r="A51" s="55" t="s">
        <v>24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63">
        <f t="shared" si="29"/>
        <v>0</v>
      </c>
      <c r="AH51" s="63"/>
      <c r="AI51" s="63">
        <f t="shared" si="30"/>
        <v>0</v>
      </c>
    </row>
    <row r="52" spans="1:35" ht="21">
      <c r="A52" s="55" t="s">
        <v>26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63">
        <f t="shared" si="29"/>
        <v>0</v>
      </c>
      <c r="AH52" s="63"/>
      <c r="AI52" s="63">
        <f t="shared" si="30"/>
        <v>0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9"/>
        <v>0</v>
      </c>
      <c r="AH53" s="70"/>
      <c r="AI53" s="63">
        <f t="shared" si="30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9"/>
        <v>0</v>
      </c>
      <c r="AH54" s="71"/>
      <c r="AI54" s="63">
        <f t="shared" si="30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9"/>
        <v>0</v>
      </c>
      <c r="AH55" s="63"/>
      <c r="AI55" s="63">
        <f t="shared" si="30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45689</v>
      </c>
      <c r="C57" s="54">
        <v>45690</v>
      </c>
      <c r="D57" s="54">
        <v>45691</v>
      </c>
      <c r="E57" s="54">
        <v>45692</v>
      </c>
      <c r="F57" s="54">
        <v>45693</v>
      </c>
      <c r="G57" s="54">
        <v>45694</v>
      </c>
      <c r="H57" s="54">
        <v>45695</v>
      </c>
      <c r="I57" s="54">
        <v>45696</v>
      </c>
      <c r="J57" s="54">
        <v>45697</v>
      </c>
      <c r="K57" s="54">
        <v>45698</v>
      </c>
      <c r="L57" s="54">
        <v>45699</v>
      </c>
      <c r="M57" s="54">
        <v>45700</v>
      </c>
      <c r="N57" s="54">
        <v>45701</v>
      </c>
      <c r="O57" s="54">
        <v>45702</v>
      </c>
      <c r="P57" s="54">
        <v>45703</v>
      </c>
      <c r="Q57" s="54">
        <v>45704</v>
      </c>
      <c r="R57" s="54">
        <v>45705</v>
      </c>
      <c r="S57" s="54">
        <v>45706</v>
      </c>
      <c r="T57" s="54">
        <v>45707</v>
      </c>
      <c r="U57" s="54">
        <v>45708</v>
      </c>
      <c r="V57" s="54">
        <v>45709</v>
      </c>
      <c r="W57" s="54">
        <v>45710</v>
      </c>
      <c r="X57" s="54">
        <v>45711</v>
      </c>
      <c r="Y57" s="54">
        <v>45712</v>
      </c>
      <c r="Z57" s="54">
        <v>45713</v>
      </c>
      <c r="AA57" s="54">
        <v>45714</v>
      </c>
      <c r="AB57" s="54">
        <v>45715</v>
      </c>
      <c r="AC57" s="54">
        <v>45716</v>
      </c>
      <c r="AD57" s="54"/>
      <c r="AE57" s="54"/>
      <c r="AF57" s="54"/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63">
        <f>SUM(B58:AF58)</f>
        <v>0</v>
      </c>
      <c r="AH58" s="63"/>
      <c r="AI58" s="63">
        <f>AG58</f>
        <v>0</v>
      </c>
    </row>
    <row r="59" spans="1:35" ht="21">
      <c r="A59" s="55" t="s">
        <v>21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63">
        <f t="shared" ref="AG59:AG66" si="31">SUM(B59:AF59)</f>
        <v>0</v>
      </c>
      <c r="AH59" s="63"/>
      <c r="AI59" s="63">
        <f>AG59+AH61+AH62+AH63</f>
        <v>0</v>
      </c>
    </row>
    <row r="60" spans="1:35" ht="21">
      <c r="A60" s="55" t="s">
        <v>22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63">
        <f t="shared" si="31"/>
        <v>0</v>
      </c>
      <c r="AH60" s="63"/>
      <c r="AI60" s="63">
        <f>AG60+AH61+AH62+AH63</f>
        <v>0</v>
      </c>
    </row>
    <row r="61" spans="1:35" ht="21">
      <c r="A61" s="55" t="s">
        <v>23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63">
        <f t="shared" si="31"/>
        <v>0</v>
      </c>
      <c r="AH61" s="63"/>
      <c r="AI61" s="63">
        <f t="shared" ref="AI61:AI66" si="32">AG61-AH61</f>
        <v>0</v>
      </c>
    </row>
    <row r="62" spans="1:35" ht="21">
      <c r="A62" s="55" t="s">
        <v>24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63">
        <f t="shared" si="31"/>
        <v>0</v>
      </c>
      <c r="AH62" s="63"/>
      <c r="AI62" s="63">
        <f t="shared" si="32"/>
        <v>0</v>
      </c>
    </row>
    <row r="63" spans="1:35" ht="21">
      <c r="A63" s="55" t="s">
        <v>26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63">
        <f t="shared" si="31"/>
        <v>0</v>
      </c>
      <c r="AH63" s="63"/>
      <c r="AI63" s="63">
        <f t="shared" si="32"/>
        <v>0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1"/>
        <v>0</v>
      </c>
      <c r="AH64" s="70"/>
      <c r="AI64" s="63">
        <f t="shared" si="32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1"/>
        <v>0</v>
      </c>
      <c r="AH65" s="71"/>
      <c r="AI65" s="63">
        <f t="shared" si="32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1"/>
        <v>0</v>
      </c>
      <c r="AH66" s="63"/>
      <c r="AI66" s="63">
        <f t="shared" si="32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45689</v>
      </c>
      <c r="C68" s="54">
        <v>45690</v>
      </c>
      <c r="D68" s="54">
        <v>45691</v>
      </c>
      <c r="E68" s="54">
        <v>45692</v>
      </c>
      <c r="F68" s="54">
        <v>45693</v>
      </c>
      <c r="G68" s="54">
        <v>45694</v>
      </c>
      <c r="H68" s="54">
        <v>45695</v>
      </c>
      <c r="I68" s="54">
        <v>45696</v>
      </c>
      <c r="J68" s="54">
        <v>45697</v>
      </c>
      <c r="K68" s="54">
        <v>45698</v>
      </c>
      <c r="L68" s="54">
        <v>45699</v>
      </c>
      <c r="M68" s="54">
        <v>45700</v>
      </c>
      <c r="N68" s="54">
        <v>45701</v>
      </c>
      <c r="O68" s="54">
        <v>45702</v>
      </c>
      <c r="P68" s="54">
        <v>45703</v>
      </c>
      <c r="Q68" s="54">
        <v>45704</v>
      </c>
      <c r="R68" s="54">
        <v>45705</v>
      </c>
      <c r="S68" s="54">
        <v>45706</v>
      </c>
      <c r="T68" s="54">
        <v>45707</v>
      </c>
      <c r="U68" s="54">
        <v>45708</v>
      </c>
      <c r="V68" s="54">
        <v>45709</v>
      </c>
      <c r="W68" s="54">
        <v>45710</v>
      </c>
      <c r="X68" s="54">
        <v>45711</v>
      </c>
      <c r="Y68" s="54">
        <v>45712</v>
      </c>
      <c r="Z68" s="54">
        <v>45713</v>
      </c>
      <c r="AA68" s="54">
        <v>45714</v>
      </c>
      <c r="AB68" s="54">
        <v>45715</v>
      </c>
      <c r="AC68" s="54">
        <v>45716</v>
      </c>
      <c r="AD68" s="54"/>
      <c r="AE68" s="54"/>
      <c r="AF68" s="54"/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63">
        <f>SUM(B69:AF69)</f>
        <v>0</v>
      </c>
      <c r="AH69" s="63"/>
      <c r="AI69" s="63">
        <f>AG69</f>
        <v>0</v>
      </c>
    </row>
    <row r="70" spans="1:35" ht="21">
      <c r="A70" s="55" t="s">
        <v>21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63">
        <f t="shared" ref="AG70:AG77" si="33">SUM(B70:AF70)</f>
        <v>0</v>
      </c>
      <c r="AH70" s="63"/>
      <c r="AI70" s="63">
        <f>AG70+AH72+AH73+AH74</f>
        <v>0</v>
      </c>
    </row>
    <row r="71" spans="1:35" ht="21">
      <c r="A71" s="55" t="s">
        <v>22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63">
        <f t="shared" si="33"/>
        <v>0</v>
      </c>
      <c r="AH71" s="63"/>
      <c r="AI71" s="63">
        <f>AG71+AH72+AH73+AH74</f>
        <v>0</v>
      </c>
    </row>
    <row r="72" spans="1:35" ht="21">
      <c r="A72" s="55" t="s">
        <v>23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63">
        <f t="shared" si="33"/>
        <v>0</v>
      </c>
      <c r="AH72" s="63"/>
      <c r="AI72" s="63">
        <f t="shared" ref="AI72:AI77" si="34">AG72-AH72</f>
        <v>0</v>
      </c>
    </row>
    <row r="73" spans="1:35" ht="21">
      <c r="A73" s="55" t="s">
        <v>24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63">
        <f t="shared" si="33"/>
        <v>0</v>
      </c>
      <c r="AH73" s="63"/>
      <c r="AI73" s="63">
        <f t="shared" si="34"/>
        <v>0</v>
      </c>
    </row>
    <row r="74" spans="1:35" ht="21">
      <c r="A74" s="55" t="s">
        <v>26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63">
        <f t="shared" si="33"/>
        <v>0</v>
      </c>
      <c r="AH74" s="63"/>
      <c r="AI74" s="63">
        <f t="shared" si="34"/>
        <v>0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3"/>
        <v>0</v>
      </c>
      <c r="AH75" s="70"/>
      <c r="AI75" s="63">
        <f t="shared" si="34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3"/>
        <v>0</v>
      </c>
      <c r="AH76" s="71"/>
      <c r="AI76" s="63">
        <f t="shared" si="34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3"/>
        <v>0</v>
      </c>
      <c r="AH77" s="63"/>
      <c r="AI77" s="63">
        <f t="shared" si="34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45689</v>
      </c>
      <c r="C79" s="54">
        <v>45628</v>
      </c>
      <c r="D79" s="54">
        <v>45629</v>
      </c>
      <c r="E79" s="54">
        <v>45630</v>
      </c>
      <c r="F79" s="54">
        <v>45631</v>
      </c>
      <c r="G79" s="54">
        <v>45632</v>
      </c>
      <c r="H79" s="54">
        <v>45633</v>
      </c>
      <c r="I79" s="54">
        <v>45634</v>
      </c>
      <c r="J79" s="54">
        <v>45635</v>
      </c>
      <c r="K79" s="54">
        <v>45636</v>
      </c>
      <c r="L79" s="54">
        <v>45637</v>
      </c>
      <c r="M79" s="54">
        <v>45638</v>
      </c>
      <c r="N79" s="54">
        <v>45639</v>
      </c>
      <c r="O79" s="54">
        <v>45640</v>
      </c>
      <c r="P79" s="54">
        <v>45641</v>
      </c>
      <c r="Q79" s="54">
        <v>45642</v>
      </c>
      <c r="R79" s="54">
        <v>45643</v>
      </c>
      <c r="S79" s="54">
        <v>45644</v>
      </c>
      <c r="T79" s="54">
        <v>45645</v>
      </c>
      <c r="U79" s="54">
        <v>45646</v>
      </c>
      <c r="V79" s="54">
        <v>45647</v>
      </c>
      <c r="W79" s="54">
        <v>45648</v>
      </c>
      <c r="X79" s="54">
        <v>45649</v>
      </c>
      <c r="Y79" s="54">
        <v>45650</v>
      </c>
      <c r="Z79" s="54">
        <v>45651</v>
      </c>
      <c r="AA79" s="54">
        <v>45652</v>
      </c>
      <c r="AB79" s="54">
        <v>45653</v>
      </c>
      <c r="AC79" s="54">
        <v>45654</v>
      </c>
      <c r="AD79" s="54"/>
      <c r="AE79" s="54"/>
      <c r="AF79" s="54"/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63">
        <f>SUM(B80:AF80)</f>
        <v>0</v>
      </c>
      <c r="AH80" s="63"/>
      <c r="AI80" s="63">
        <f>AG80</f>
        <v>0</v>
      </c>
    </row>
    <row r="81" spans="1:67" ht="21">
      <c r="A81" s="55" t="s">
        <v>21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63">
        <f t="shared" ref="AG81:AG88" si="35">SUM(B81:AF81)</f>
        <v>0</v>
      </c>
      <c r="AH81" s="63"/>
      <c r="AI81" s="63">
        <f>AG81+AH83+AH84+AH85</f>
        <v>0</v>
      </c>
    </row>
    <row r="82" spans="1:67" ht="21">
      <c r="A82" s="55" t="s">
        <v>22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63">
        <f t="shared" si="35"/>
        <v>0</v>
      </c>
      <c r="AH82" s="63"/>
      <c r="AI82" s="63">
        <f>AG82+AH83+AH84+AH85</f>
        <v>0</v>
      </c>
    </row>
    <row r="83" spans="1:67" ht="21">
      <c r="A83" s="55" t="s">
        <v>23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63">
        <f t="shared" si="35"/>
        <v>0</v>
      </c>
      <c r="AH83" s="63"/>
      <c r="AI83" s="63">
        <f t="shared" ref="AI83:AI88" si="36">AG83-AH83</f>
        <v>0</v>
      </c>
    </row>
    <row r="84" spans="1:67" ht="21">
      <c r="A84" s="55" t="s">
        <v>24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63">
        <f t="shared" si="35"/>
        <v>0</v>
      </c>
      <c r="AH84" s="63"/>
      <c r="AI84" s="63">
        <f t="shared" si="36"/>
        <v>0</v>
      </c>
    </row>
    <row r="85" spans="1:67" ht="21">
      <c r="A85" s="55" t="s">
        <v>26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63">
        <f t="shared" si="35"/>
        <v>0</v>
      </c>
      <c r="AH85" s="63"/>
      <c r="AI85" s="63">
        <f t="shared" si="36"/>
        <v>0</v>
      </c>
    </row>
    <row r="86" spans="1:67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5"/>
        <v>0</v>
      </c>
      <c r="AH86" s="70"/>
      <c r="AI86" s="63">
        <f t="shared" si="36"/>
        <v>0</v>
      </c>
    </row>
    <row r="87" spans="1:67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5"/>
        <v>0</v>
      </c>
      <c r="AH87" s="71"/>
      <c r="AI87" s="63">
        <f t="shared" si="36"/>
        <v>0</v>
      </c>
    </row>
    <row r="88" spans="1:67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5"/>
        <v>0</v>
      </c>
      <c r="AH88" s="63"/>
      <c r="AI88" s="63">
        <f t="shared" si="36"/>
        <v>0</v>
      </c>
    </row>
    <row r="89" spans="1:67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BD89" s="3"/>
      <c r="BE89" s="41"/>
      <c r="BF89" s="41"/>
      <c r="BI89" s="3"/>
      <c r="BJ89" s="3"/>
      <c r="BK89" s="3"/>
      <c r="BL89" s="3"/>
      <c r="BM89" s="3"/>
      <c r="BN89" s="3"/>
      <c r="BO89" s="3"/>
    </row>
    <row r="90" spans="1:67" ht="21">
      <c r="A90" s="53"/>
      <c r="B90" s="54">
        <v>45689</v>
      </c>
      <c r="C90" s="54">
        <v>45628</v>
      </c>
      <c r="D90" s="54">
        <v>45629</v>
      </c>
      <c r="E90" s="54">
        <v>45630</v>
      </c>
      <c r="F90" s="54">
        <v>45631</v>
      </c>
      <c r="G90" s="54">
        <v>45632</v>
      </c>
      <c r="H90" s="54">
        <v>45633</v>
      </c>
      <c r="I90" s="54">
        <v>45634</v>
      </c>
      <c r="J90" s="54">
        <v>45635</v>
      </c>
      <c r="K90" s="54">
        <v>45636</v>
      </c>
      <c r="L90" s="54">
        <v>45637</v>
      </c>
      <c r="M90" s="54">
        <v>45638</v>
      </c>
      <c r="N90" s="54">
        <v>45639</v>
      </c>
      <c r="O90" s="54">
        <v>45640</v>
      </c>
      <c r="P90" s="54">
        <v>45641</v>
      </c>
      <c r="Q90" s="54">
        <v>45642</v>
      </c>
      <c r="R90" s="54">
        <v>45643</v>
      </c>
      <c r="S90" s="54">
        <v>45644</v>
      </c>
      <c r="T90" s="54">
        <v>45645</v>
      </c>
      <c r="U90" s="54">
        <v>45646</v>
      </c>
      <c r="V90" s="54">
        <v>45647</v>
      </c>
      <c r="W90" s="54">
        <v>45648</v>
      </c>
      <c r="X90" s="54">
        <v>45649</v>
      </c>
      <c r="Y90" s="54">
        <v>45650</v>
      </c>
      <c r="Z90" s="54">
        <v>45651</v>
      </c>
      <c r="AA90" s="54">
        <v>45652</v>
      </c>
      <c r="AB90" s="54">
        <v>45653</v>
      </c>
      <c r="AC90" s="54">
        <v>45654</v>
      </c>
      <c r="AD90" s="54"/>
      <c r="AE90" s="54"/>
      <c r="AF90" s="54"/>
      <c r="AG90" s="61" t="s">
        <v>2</v>
      </c>
      <c r="AH90" s="61" t="s">
        <v>3</v>
      </c>
      <c r="AI90" s="62" t="s">
        <v>59</v>
      </c>
    </row>
    <row r="91" spans="1:67" ht="21">
      <c r="A91" s="55" t="s">
        <v>56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63">
        <f>SUM(B91:AF91)</f>
        <v>0</v>
      </c>
      <c r="AH91" s="63"/>
      <c r="AI91" s="63">
        <f>AG91</f>
        <v>0</v>
      </c>
    </row>
    <row r="92" spans="1:67" ht="21">
      <c r="A92" s="55" t="s">
        <v>21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63">
        <f t="shared" ref="AG92:AG99" si="37">SUM(B92:AF92)</f>
        <v>0</v>
      </c>
      <c r="AH92" s="63"/>
      <c r="AI92" s="63">
        <f>AG92+AH94+AH95+AH96</f>
        <v>0</v>
      </c>
    </row>
    <row r="93" spans="1:67" ht="21">
      <c r="A93" s="55" t="s">
        <v>22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63">
        <f t="shared" si="37"/>
        <v>0</v>
      </c>
      <c r="AH93" s="63"/>
      <c r="AI93" s="63">
        <f>AG93+AH94+AH95+AH96</f>
        <v>0</v>
      </c>
    </row>
    <row r="94" spans="1:67" ht="21">
      <c r="A94" s="55" t="s">
        <v>23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63">
        <f t="shared" si="37"/>
        <v>0</v>
      </c>
      <c r="AH94" s="63"/>
      <c r="AI94" s="63">
        <f t="shared" ref="AI94:AI99" si="38">AG94-AH94</f>
        <v>0</v>
      </c>
    </row>
    <row r="95" spans="1:67" ht="21">
      <c r="A95" s="55" t="s">
        <v>24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63">
        <f t="shared" si="37"/>
        <v>0</v>
      </c>
      <c r="AH95" s="63"/>
      <c r="AI95" s="63">
        <f t="shared" si="38"/>
        <v>0</v>
      </c>
    </row>
    <row r="96" spans="1:67" ht="21">
      <c r="A96" s="55" t="s">
        <v>26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63">
        <f t="shared" si="37"/>
        <v>0</v>
      </c>
      <c r="AH96" s="63"/>
      <c r="AI96" s="63">
        <f t="shared" si="38"/>
        <v>0</v>
      </c>
    </row>
    <row r="97" spans="1:75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7"/>
        <v>0</v>
      </c>
      <c r="AH97" s="70"/>
      <c r="AI97" s="63">
        <f t="shared" si="38"/>
        <v>0</v>
      </c>
    </row>
    <row r="98" spans="1:75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7"/>
        <v>0</v>
      </c>
      <c r="AH98" s="71"/>
      <c r="AI98" s="63">
        <f t="shared" si="38"/>
        <v>0</v>
      </c>
    </row>
    <row r="99" spans="1:75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7"/>
        <v>0</v>
      </c>
      <c r="AH99" s="63"/>
      <c r="AI99" s="63">
        <f t="shared" si="38"/>
        <v>0</v>
      </c>
    </row>
    <row r="100" spans="1:75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BD100" s="3"/>
      <c r="BE100" s="41"/>
      <c r="BF100" s="41"/>
      <c r="BI100" s="3"/>
      <c r="BJ100" s="3"/>
      <c r="BK100" s="3"/>
      <c r="BL100" s="3"/>
      <c r="BM100" s="3"/>
      <c r="BN100" s="3"/>
      <c r="BO100" s="3"/>
    </row>
    <row r="101" spans="1:75" ht="21">
      <c r="A101" s="53"/>
      <c r="B101" s="54">
        <v>45627</v>
      </c>
      <c r="C101" s="54">
        <v>45628</v>
      </c>
      <c r="D101" s="54">
        <v>45629</v>
      </c>
      <c r="E101" s="54">
        <v>45630</v>
      </c>
      <c r="F101" s="54">
        <v>45631</v>
      </c>
      <c r="G101" s="54">
        <v>45632</v>
      </c>
      <c r="H101" s="54">
        <v>45633</v>
      </c>
      <c r="I101" s="54">
        <v>45634</v>
      </c>
      <c r="J101" s="54">
        <v>45635</v>
      </c>
      <c r="K101" s="54">
        <v>45636</v>
      </c>
      <c r="L101" s="54">
        <v>45637</v>
      </c>
      <c r="M101" s="54">
        <v>45638</v>
      </c>
      <c r="N101" s="54">
        <v>45639</v>
      </c>
      <c r="O101" s="54">
        <v>45640</v>
      </c>
      <c r="P101" s="54">
        <v>45641</v>
      </c>
      <c r="Q101" s="54">
        <v>45642</v>
      </c>
      <c r="R101" s="54">
        <v>45643</v>
      </c>
      <c r="S101" s="54">
        <v>45644</v>
      </c>
      <c r="T101" s="54">
        <v>45645</v>
      </c>
      <c r="U101" s="54">
        <v>45646</v>
      </c>
      <c r="V101" s="54">
        <v>45647</v>
      </c>
      <c r="W101" s="54">
        <v>45648</v>
      </c>
      <c r="X101" s="54">
        <v>45649</v>
      </c>
      <c r="Y101" s="54">
        <v>45650</v>
      </c>
      <c r="Z101" s="54">
        <v>45651</v>
      </c>
      <c r="AA101" s="54">
        <v>45652</v>
      </c>
      <c r="AB101" s="54">
        <v>45653</v>
      </c>
      <c r="AC101" s="54">
        <v>45654</v>
      </c>
      <c r="AD101" s="54">
        <v>45655</v>
      </c>
      <c r="AE101" s="54">
        <v>45656</v>
      </c>
      <c r="AF101" s="54">
        <v>45657</v>
      </c>
      <c r="AG101" s="61" t="s">
        <v>2</v>
      </c>
      <c r="AH101" s="61" t="s">
        <v>3</v>
      </c>
      <c r="AI101" s="62" t="s">
        <v>61</v>
      </c>
    </row>
    <row r="102" spans="1:75" ht="21">
      <c r="A102" s="55" t="s">
        <v>56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63">
        <f>SUM(B102:AF102)</f>
        <v>0</v>
      </c>
      <c r="AH102" s="63"/>
      <c r="AI102" s="63">
        <f>AG102</f>
        <v>0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2"/>
      <c r="BV102" s="122"/>
      <c r="BW102" s="123"/>
    </row>
    <row r="103" spans="1:75" ht="21">
      <c r="A103" s="55" t="s">
        <v>21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63">
        <f t="shared" ref="AG103:AG110" si="39">SUM(B103:AF103)</f>
        <v>0</v>
      </c>
      <c r="AH103" s="63"/>
      <c r="AI103" s="63">
        <f>AG103+AH105+AH106+AH107</f>
        <v>0</v>
      </c>
      <c r="BE103"/>
      <c r="BF103"/>
      <c r="BG103"/>
      <c r="BH103"/>
    </row>
    <row r="104" spans="1:75" ht="21">
      <c r="A104" s="55" t="s">
        <v>22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63">
        <f t="shared" si="39"/>
        <v>0</v>
      </c>
      <c r="AH104" s="63"/>
      <c r="AI104" s="63">
        <f>AG104+AH105+AH106+AH107</f>
        <v>0</v>
      </c>
    </row>
    <row r="105" spans="1:75" ht="21">
      <c r="A105" s="55" t="s">
        <v>23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63">
        <f t="shared" si="39"/>
        <v>0</v>
      </c>
      <c r="AH105" s="63"/>
      <c r="AI105" s="63">
        <f t="shared" ref="AI105:AI110" si="40">AG105-AH105</f>
        <v>0</v>
      </c>
    </row>
    <row r="106" spans="1:75" ht="21">
      <c r="A106" s="55" t="s">
        <v>24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63">
        <f t="shared" si="39"/>
        <v>0</v>
      </c>
      <c r="AH106" s="63"/>
      <c r="AI106" s="63">
        <f t="shared" si="40"/>
        <v>0</v>
      </c>
    </row>
    <row r="107" spans="1:75" ht="21">
      <c r="A107" s="55" t="s">
        <v>26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63">
        <f t="shared" si="39"/>
        <v>0</v>
      </c>
      <c r="AH107" s="63"/>
      <c r="AI107" s="63">
        <f t="shared" si="40"/>
        <v>0</v>
      </c>
    </row>
    <row r="108" spans="1:75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9"/>
        <v>0</v>
      </c>
      <c r="AH108" s="70"/>
      <c r="AI108" s="63">
        <f t="shared" si="40"/>
        <v>0</v>
      </c>
    </row>
    <row r="109" spans="1:75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9"/>
        <v>0</v>
      </c>
      <c r="AH109" s="71"/>
      <c r="AI109" s="63">
        <f t="shared" si="40"/>
        <v>0</v>
      </c>
    </row>
    <row r="110" spans="1:75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9"/>
        <v>0</v>
      </c>
      <c r="AH110" s="63"/>
      <c r="AI110" s="63">
        <f t="shared" si="40"/>
        <v>0</v>
      </c>
    </row>
  </sheetData>
  <mergeCells count="18">
    <mergeCell ref="AY27:AZ27"/>
    <mergeCell ref="AY28:AZ28"/>
    <mergeCell ref="A78:AG78"/>
    <mergeCell ref="A89:AG89"/>
    <mergeCell ref="A100:AG100"/>
    <mergeCell ref="AY29:AZ29"/>
    <mergeCell ref="A34:AG34"/>
    <mergeCell ref="A45:AG45"/>
    <mergeCell ref="A56:AG56"/>
    <mergeCell ref="A67:AG67"/>
    <mergeCell ref="A1:AG1"/>
    <mergeCell ref="A12:AG12"/>
    <mergeCell ref="A23:AG23"/>
    <mergeCell ref="BE1:BH2"/>
    <mergeCell ref="AK14:AV15"/>
    <mergeCell ref="AK16:AV17"/>
    <mergeCell ref="AK1:AV2"/>
    <mergeCell ref="AX1:B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7"/>
  <sheetViews>
    <sheetView showGridLines="0" topLeftCell="A10" zoomScale="80" zoomScaleNormal="80" workbookViewId="0">
      <selection activeCell="A32" sqref="A32:H47"/>
    </sheetView>
  </sheetViews>
  <sheetFormatPr baseColWidth="10" defaultColWidth="9.140625" defaultRowHeight="15"/>
  <cols>
    <col min="2" max="2" width="18" customWidth="1"/>
  </cols>
  <sheetData>
    <row r="1" spans="1:7">
      <c r="G1" t="s">
        <v>72</v>
      </c>
    </row>
    <row r="2" spans="1:7">
      <c r="B2" t="s">
        <v>9</v>
      </c>
    </row>
    <row r="3" spans="1:7">
      <c r="A3">
        <v>1</v>
      </c>
      <c r="B3" t="s">
        <v>73</v>
      </c>
      <c r="C3" t="s">
        <v>74</v>
      </c>
      <c r="G3">
        <v>38</v>
      </c>
    </row>
    <row r="4" spans="1:7">
      <c r="A4">
        <v>2</v>
      </c>
      <c r="B4" t="s">
        <v>75</v>
      </c>
      <c r="C4" t="s">
        <v>74</v>
      </c>
      <c r="G4">
        <v>38</v>
      </c>
    </row>
    <row r="5" spans="1:7">
      <c r="A5">
        <v>3</v>
      </c>
      <c r="B5" t="s">
        <v>76</v>
      </c>
      <c r="C5" t="s">
        <v>77</v>
      </c>
      <c r="G5">
        <v>38</v>
      </c>
    </row>
    <row r="6" spans="1:7">
      <c r="G6" s="43">
        <f>SUM(G3:G5)</f>
        <v>114</v>
      </c>
    </row>
    <row r="8" spans="1:7">
      <c r="B8" t="s">
        <v>11</v>
      </c>
    </row>
    <row r="9" spans="1:7">
      <c r="A9">
        <v>1</v>
      </c>
      <c r="B9" t="s">
        <v>78</v>
      </c>
      <c r="C9" t="s">
        <v>77</v>
      </c>
      <c r="G9">
        <v>38</v>
      </c>
    </row>
    <row r="10" spans="1:7">
      <c r="A10">
        <v>2</v>
      </c>
      <c r="B10" t="s">
        <v>79</v>
      </c>
      <c r="C10" t="s">
        <v>80</v>
      </c>
      <c r="D10" t="s">
        <v>81</v>
      </c>
      <c r="E10">
        <v>63</v>
      </c>
      <c r="G10">
        <v>38</v>
      </c>
    </row>
    <row r="11" spans="1:7">
      <c r="A11">
        <v>3</v>
      </c>
      <c r="B11" t="s">
        <v>82</v>
      </c>
      <c r="C11" t="s">
        <v>83</v>
      </c>
      <c r="G11">
        <v>38</v>
      </c>
    </row>
    <row r="12" spans="1:7">
      <c r="A12">
        <v>4</v>
      </c>
      <c r="B12" t="s">
        <v>84</v>
      </c>
      <c r="C12" t="s">
        <v>77</v>
      </c>
      <c r="G12">
        <v>38</v>
      </c>
    </row>
    <row r="13" spans="1:7">
      <c r="A13">
        <v>5</v>
      </c>
      <c r="B13" t="s">
        <v>85</v>
      </c>
      <c r="C13" t="s">
        <v>83</v>
      </c>
      <c r="G13">
        <v>38</v>
      </c>
    </row>
    <row r="14" spans="1:7">
      <c r="A14">
        <v>6</v>
      </c>
      <c r="B14" t="s">
        <v>86</v>
      </c>
      <c r="C14" t="s">
        <v>77</v>
      </c>
      <c r="G14">
        <v>38</v>
      </c>
    </row>
    <row r="15" spans="1:7">
      <c r="A15">
        <v>7</v>
      </c>
      <c r="B15" t="s">
        <v>87</v>
      </c>
      <c r="C15" t="s">
        <v>83</v>
      </c>
      <c r="D15" t="s">
        <v>81</v>
      </c>
      <c r="E15">
        <v>68</v>
      </c>
      <c r="G15">
        <v>38</v>
      </c>
    </row>
    <row r="16" spans="1:7">
      <c r="A16">
        <v>8</v>
      </c>
      <c r="B16" t="s">
        <v>88</v>
      </c>
      <c r="C16" t="s">
        <v>77</v>
      </c>
      <c r="G16">
        <v>38</v>
      </c>
    </row>
    <row r="17" spans="1:8">
      <c r="G17" s="43">
        <f>SUM(G9:G16)</f>
        <v>304</v>
      </c>
    </row>
    <row r="19" spans="1:8">
      <c r="B19" t="s">
        <v>71</v>
      </c>
    </row>
    <row r="20" spans="1:8">
      <c r="A20">
        <v>1</v>
      </c>
      <c r="B20" t="s">
        <v>89</v>
      </c>
      <c r="C20" t="s">
        <v>74</v>
      </c>
    </row>
    <row r="23" spans="1:8">
      <c r="B23" t="s">
        <v>25</v>
      </c>
    </row>
    <row r="24" spans="1:8">
      <c r="A24">
        <v>1</v>
      </c>
      <c r="B24" t="s">
        <v>90</v>
      </c>
      <c r="C24" t="s">
        <v>83</v>
      </c>
      <c r="G24">
        <v>38</v>
      </c>
    </row>
    <row r="25" spans="1:8">
      <c r="A25">
        <v>2</v>
      </c>
      <c r="B25" t="s">
        <v>91</v>
      </c>
      <c r="C25" t="s">
        <v>92</v>
      </c>
      <c r="G25">
        <v>38</v>
      </c>
    </row>
    <row r="26" spans="1:8">
      <c r="A26">
        <v>3</v>
      </c>
      <c r="B26" t="s">
        <v>93</v>
      </c>
      <c r="C26" t="s">
        <v>92</v>
      </c>
      <c r="G26">
        <v>38</v>
      </c>
    </row>
    <row r="27" spans="1:8">
      <c r="A27">
        <v>4</v>
      </c>
      <c r="B27" t="s">
        <v>94</v>
      </c>
      <c r="C27" t="s">
        <v>80</v>
      </c>
      <c r="G27">
        <v>38</v>
      </c>
    </row>
    <row r="28" spans="1:8">
      <c r="A28">
        <v>5</v>
      </c>
      <c r="B28" t="s">
        <v>95</v>
      </c>
      <c r="C28" t="s">
        <v>74</v>
      </c>
      <c r="G28">
        <v>38</v>
      </c>
    </row>
    <row r="29" spans="1:8">
      <c r="A29">
        <v>6</v>
      </c>
      <c r="B29" t="s">
        <v>96</v>
      </c>
      <c r="C29" t="s">
        <v>77</v>
      </c>
      <c r="G29">
        <v>38</v>
      </c>
    </row>
    <row r="30" spans="1:8">
      <c r="G30" s="43">
        <f>SUM(G24:G29)</f>
        <v>228</v>
      </c>
    </row>
    <row r="32" spans="1:8">
      <c r="A32" s="44"/>
      <c r="B32" s="45" t="s">
        <v>8</v>
      </c>
      <c r="C32" s="45"/>
      <c r="D32" s="45"/>
      <c r="E32" s="45"/>
      <c r="F32" s="45"/>
      <c r="G32" s="45"/>
      <c r="H32" s="46"/>
    </row>
    <row r="33" spans="1:8">
      <c r="A33" s="47">
        <v>1</v>
      </c>
      <c r="B33" s="3" t="s">
        <v>97</v>
      </c>
      <c r="C33" s="3" t="s">
        <v>92</v>
      </c>
      <c r="D33" s="3"/>
      <c r="E33" s="3"/>
      <c r="F33" s="3"/>
      <c r="G33" s="3">
        <v>38</v>
      </c>
      <c r="H33" s="48"/>
    </row>
    <row r="34" spans="1:8">
      <c r="A34" s="47">
        <v>2</v>
      </c>
      <c r="B34" s="3" t="s">
        <v>98</v>
      </c>
      <c r="C34" s="3" t="s">
        <v>77</v>
      </c>
      <c r="D34" s="3"/>
      <c r="E34" s="3"/>
      <c r="F34" s="3"/>
      <c r="G34" s="3">
        <v>38</v>
      </c>
      <c r="H34" s="48"/>
    </row>
    <row r="35" spans="1:8">
      <c r="A35" s="47">
        <v>3</v>
      </c>
      <c r="B35" s="3" t="s">
        <v>99</v>
      </c>
      <c r="C35" s="3" t="s">
        <v>77</v>
      </c>
      <c r="D35" s="3"/>
      <c r="E35" s="3"/>
      <c r="F35" s="3"/>
      <c r="G35" s="3">
        <v>38</v>
      </c>
      <c r="H35" s="48"/>
    </row>
    <row r="36" spans="1:8">
      <c r="A36" s="47">
        <v>4</v>
      </c>
      <c r="B36" s="3" t="s">
        <v>100</v>
      </c>
      <c r="C36" s="3" t="s">
        <v>74</v>
      </c>
      <c r="D36" s="3"/>
      <c r="E36" s="3"/>
      <c r="F36" s="3"/>
      <c r="G36" s="3">
        <v>38</v>
      </c>
      <c r="H36" s="48"/>
    </row>
    <row r="37" spans="1:8">
      <c r="A37" s="47">
        <v>5</v>
      </c>
      <c r="B37" s="3" t="s">
        <v>101</v>
      </c>
      <c r="C37" s="3" t="s">
        <v>74</v>
      </c>
      <c r="D37" s="3"/>
      <c r="E37" s="3"/>
      <c r="F37" s="3"/>
      <c r="G37" s="3">
        <v>38</v>
      </c>
      <c r="H37" s="48"/>
    </row>
    <row r="38" spans="1:8">
      <c r="A38" s="47">
        <v>6</v>
      </c>
      <c r="B38" s="3" t="s">
        <v>102</v>
      </c>
      <c r="C38" s="3" t="s">
        <v>77</v>
      </c>
      <c r="D38" s="3"/>
      <c r="E38" s="3"/>
      <c r="F38" s="3"/>
      <c r="G38" s="3">
        <v>48</v>
      </c>
      <c r="H38" s="48"/>
    </row>
    <row r="39" spans="1:8">
      <c r="A39" s="47">
        <v>7</v>
      </c>
      <c r="B39" s="3" t="s">
        <v>103</v>
      </c>
      <c r="C39" s="3" t="s">
        <v>74</v>
      </c>
      <c r="D39" s="3"/>
      <c r="E39" s="3"/>
      <c r="F39" s="3"/>
      <c r="G39" s="3">
        <v>48</v>
      </c>
      <c r="H39" s="48"/>
    </row>
    <row r="40" spans="1:8">
      <c r="A40" s="47">
        <v>8</v>
      </c>
      <c r="B40" s="3" t="s">
        <v>104</v>
      </c>
      <c r="C40" s="3" t="s">
        <v>77</v>
      </c>
      <c r="D40" s="3"/>
      <c r="E40" s="3"/>
      <c r="F40" s="3"/>
      <c r="G40" s="3">
        <v>38</v>
      </c>
      <c r="H40" s="48"/>
    </row>
    <row r="41" spans="1:8">
      <c r="A41" s="47">
        <v>9</v>
      </c>
      <c r="B41" s="3" t="s">
        <v>105</v>
      </c>
      <c r="C41" s="3" t="s">
        <v>77</v>
      </c>
      <c r="D41" s="3"/>
      <c r="E41" s="3"/>
      <c r="F41" s="3"/>
      <c r="G41" s="3">
        <v>38</v>
      </c>
      <c r="H41" s="48"/>
    </row>
    <row r="42" spans="1:8">
      <c r="A42" s="47">
        <v>10</v>
      </c>
      <c r="B42" s="3" t="s">
        <v>106</v>
      </c>
      <c r="C42" s="3" t="s">
        <v>74</v>
      </c>
      <c r="D42" s="3"/>
      <c r="E42" s="3"/>
      <c r="F42" s="3"/>
      <c r="G42" s="3">
        <v>38</v>
      </c>
      <c r="H42" s="48"/>
    </row>
    <row r="43" spans="1:8">
      <c r="A43" s="47">
        <v>11</v>
      </c>
      <c r="B43" s="3" t="s">
        <v>107</v>
      </c>
      <c r="C43" s="3" t="s">
        <v>74</v>
      </c>
      <c r="D43" s="3"/>
      <c r="E43" s="3"/>
      <c r="F43" s="3"/>
      <c r="G43" s="3">
        <v>38</v>
      </c>
      <c r="H43" s="48"/>
    </row>
    <row r="44" spans="1:8">
      <c r="A44" s="47">
        <v>12</v>
      </c>
      <c r="B44" s="3" t="s">
        <v>108</v>
      </c>
      <c r="C44" s="3" t="s">
        <v>83</v>
      </c>
      <c r="D44" s="3"/>
      <c r="E44" s="3"/>
      <c r="F44" s="3"/>
      <c r="G44" s="3">
        <v>38</v>
      </c>
      <c r="H44" s="48"/>
    </row>
    <row r="45" spans="1:8">
      <c r="A45" s="47">
        <v>13</v>
      </c>
      <c r="B45" s="3" t="s">
        <v>109</v>
      </c>
      <c r="C45" s="3" t="s">
        <v>74</v>
      </c>
      <c r="D45" s="3"/>
      <c r="E45" s="3"/>
      <c r="F45" s="3"/>
      <c r="G45" s="3">
        <v>38</v>
      </c>
      <c r="H45" s="48"/>
    </row>
    <row r="46" spans="1:8">
      <c r="A46" s="47">
        <v>14</v>
      </c>
      <c r="B46" s="3" t="s">
        <v>110</v>
      </c>
      <c r="C46" s="3" t="s">
        <v>83</v>
      </c>
      <c r="D46" s="3"/>
      <c r="E46" s="3"/>
      <c r="F46" s="3"/>
      <c r="G46" s="3">
        <v>38</v>
      </c>
      <c r="H46" s="48"/>
    </row>
    <row r="47" spans="1:8">
      <c r="A47" s="49"/>
      <c r="B47" s="50"/>
      <c r="C47" s="50"/>
      <c r="D47" s="50"/>
      <c r="E47" s="50"/>
      <c r="F47" s="50"/>
      <c r="G47" s="51">
        <f>SUM(G33:G46)</f>
        <v>552</v>
      </c>
      <c r="H47" s="52"/>
    </row>
    <row r="51" spans="2:7">
      <c r="B51" t="s">
        <v>7</v>
      </c>
    </row>
    <row r="52" spans="2:7">
      <c r="B52" t="s">
        <v>111</v>
      </c>
      <c r="C52" t="s">
        <v>83</v>
      </c>
      <c r="G52">
        <v>38</v>
      </c>
    </row>
    <row r="53" spans="2:7">
      <c r="B53" t="s">
        <v>112</v>
      </c>
      <c r="C53" t="s">
        <v>74</v>
      </c>
      <c r="G53">
        <v>38</v>
      </c>
    </row>
    <row r="54" spans="2:7">
      <c r="B54" t="s">
        <v>113</v>
      </c>
      <c r="C54" t="s">
        <v>77</v>
      </c>
      <c r="G54">
        <v>38</v>
      </c>
    </row>
    <row r="55" spans="2:7">
      <c r="B55" t="s">
        <v>114</v>
      </c>
      <c r="C55" t="s">
        <v>92</v>
      </c>
      <c r="G55">
        <v>38</v>
      </c>
    </row>
    <row r="56" spans="2:7">
      <c r="B56" t="s">
        <v>115</v>
      </c>
      <c r="C56" t="s">
        <v>74</v>
      </c>
      <c r="G56">
        <v>38</v>
      </c>
    </row>
    <row r="57" spans="2:7">
      <c r="G57" s="43">
        <f>SUM(G52:G56)</f>
        <v>190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4602-CF26-4947-A098-BF9E75204BF2}">
  <dimension ref="A1:BW110"/>
  <sheetViews>
    <sheetView showGridLines="0" zoomScale="50" zoomScaleNormal="50" workbookViewId="0">
      <pane xSplit="1" topLeftCell="AI1" activePane="topRight" state="frozen"/>
      <selection pane="topRight" activeCell="AY33" sqref="AY33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8" width="9.42578125" style="3" customWidth="1"/>
    <col min="39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5" width="24.28515625" style="3" customWidth="1"/>
    <col min="46" max="46" width="30.42578125" style="3" customWidth="1"/>
    <col min="47" max="47" width="21.140625" style="3" customWidth="1"/>
    <col min="48" max="48" width="10.5703125" style="3" customWidth="1"/>
    <col min="50" max="50" width="33.5703125" customWidth="1"/>
    <col min="51" max="52" width="28.7109375" customWidth="1"/>
    <col min="53" max="53" width="29.85546875" customWidth="1"/>
    <col min="54" max="54" width="17" customWidth="1"/>
    <col min="57" max="57" width="14.140625" style="2" customWidth="1"/>
    <col min="58" max="58" width="17.7109375" style="2" customWidth="1"/>
    <col min="59" max="59" width="25.42578125" style="2" customWidth="1"/>
    <col min="60" max="60" width="26.5703125" style="2" customWidth="1"/>
  </cols>
  <sheetData>
    <row r="1" spans="1:60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127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3"/>
      <c r="AX1" s="257" t="s">
        <v>1</v>
      </c>
      <c r="AY1" s="258"/>
      <c r="AZ1" s="258"/>
      <c r="BA1" s="258"/>
      <c r="BB1" s="259"/>
      <c r="BE1" s="263"/>
      <c r="BF1" s="263"/>
      <c r="BG1" s="263"/>
      <c r="BH1" s="263"/>
    </row>
    <row r="2" spans="1:60" s="1" customFormat="1" ht="23.25" customHeight="1" thickBot="1">
      <c r="A2" s="53"/>
      <c r="B2" s="54">
        <v>45659</v>
      </c>
      <c r="C2" s="54">
        <v>45660</v>
      </c>
      <c r="D2" s="54">
        <v>45661</v>
      </c>
      <c r="E2" s="54">
        <v>45662</v>
      </c>
      <c r="F2" s="54">
        <v>45663</v>
      </c>
      <c r="G2" s="54">
        <v>45664</v>
      </c>
      <c r="H2" s="54">
        <v>45665</v>
      </c>
      <c r="I2" s="54">
        <v>45666</v>
      </c>
      <c r="J2" s="54">
        <v>45667</v>
      </c>
      <c r="K2" s="54">
        <v>45668</v>
      </c>
      <c r="L2" s="54">
        <v>45669</v>
      </c>
      <c r="M2" s="54">
        <v>45670</v>
      </c>
      <c r="N2" s="54">
        <v>45671</v>
      </c>
      <c r="O2" s="54">
        <v>45672</v>
      </c>
      <c r="P2" s="54">
        <v>45673</v>
      </c>
      <c r="Q2" s="54">
        <v>45674</v>
      </c>
      <c r="R2" s="54">
        <v>45675</v>
      </c>
      <c r="S2" s="54">
        <v>45676</v>
      </c>
      <c r="T2" s="54">
        <v>45677</v>
      </c>
      <c r="U2" s="54">
        <v>45678</v>
      </c>
      <c r="V2" s="54">
        <v>45679</v>
      </c>
      <c r="W2" s="54">
        <v>45680</v>
      </c>
      <c r="X2" s="54">
        <v>45681</v>
      </c>
      <c r="Y2" s="54">
        <v>45682</v>
      </c>
      <c r="Z2" s="54">
        <v>45683</v>
      </c>
      <c r="AA2" s="54">
        <v>45684</v>
      </c>
      <c r="AB2" s="54">
        <v>45685</v>
      </c>
      <c r="AC2" s="54">
        <v>45686</v>
      </c>
      <c r="AD2" s="54">
        <v>45687</v>
      </c>
      <c r="AE2" s="54">
        <v>45688</v>
      </c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6"/>
      <c r="AX2" s="260"/>
      <c r="AY2" s="261"/>
      <c r="AZ2" s="261"/>
      <c r="BA2" s="261"/>
      <c r="BB2" s="262"/>
      <c r="BE2" s="263"/>
      <c r="BF2" s="263"/>
      <c r="BG2" s="263"/>
      <c r="BH2" s="263"/>
    </row>
    <row r="3" spans="1:60" ht="21.75" thickBot="1">
      <c r="A3" s="55" t="s">
        <v>5</v>
      </c>
      <c r="B3" s="56">
        <v>43</v>
      </c>
      <c r="C3" s="56">
        <v>71</v>
      </c>
      <c r="D3" s="56">
        <v>49</v>
      </c>
      <c r="E3" s="56">
        <v>33</v>
      </c>
      <c r="F3" s="56">
        <v>40</v>
      </c>
      <c r="G3" s="56">
        <v>32</v>
      </c>
      <c r="H3" s="56">
        <v>43</v>
      </c>
      <c r="I3" s="56">
        <v>39</v>
      </c>
      <c r="J3" s="56">
        <v>53</v>
      </c>
      <c r="K3" s="56">
        <v>30</v>
      </c>
      <c r="L3" s="56">
        <v>34</v>
      </c>
      <c r="M3" s="56">
        <v>22</v>
      </c>
      <c r="N3" s="56">
        <v>39</v>
      </c>
      <c r="O3" s="56">
        <v>25</v>
      </c>
      <c r="P3" s="56">
        <v>32</v>
      </c>
      <c r="Q3" s="56">
        <v>50</v>
      </c>
      <c r="R3" s="56">
        <v>62</v>
      </c>
      <c r="S3" s="56">
        <v>39</v>
      </c>
      <c r="T3" s="56">
        <v>43</v>
      </c>
      <c r="U3" s="56">
        <v>39</v>
      </c>
      <c r="V3" s="56">
        <v>39</v>
      </c>
      <c r="W3" s="56">
        <v>43</v>
      </c>
      <c r="X3" s="56">
        <v>64</v>
      </c>
      <c r="Y3" s="56">
        <v>49</v>
      </c>
      <c r="Z3" s="56">
        <v>50</v>
      </c>
      <c r="AA3" s="56">
        <v>40</v>
      </c>
      <c r="AB3" s="56">
        <v>32</v>
      </c>
      <c r="AC3" s="56">
        <v>26</v>
      </c>
      <c r="AD3" s="56">
        <v>52</v>
      </c>
      <c r="AE3" s="56">
        <v>73</v>
      </c>
      <c r="AF3" s="56"/>
      <c r="AG3" s="63">
        <f>SUM(B3:AF3)</f>
        <v>1286</v>
      </c>
      <c r="AH3" s="63"/>
      <c r="AI3" s="63">
        <f>AG3</f>
        <v>1286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14</v>
      </c>
      <c r="AU3" s="65" t="s">
        <v>15</v>
      </c>
      <c r="AV3" s="84" t="s">
        <v>2</v>
      </c>
      <c r="AX3" s="85" t="s">
        <v>16</v>
      </c>
      <c r="AY3" s="86" t="s">
        <v>17</v>
      </c>
      <c r="AZ3" s="86" t="s">
        <v>18</v>
      </c>
      <c r="BA3" s="86" t="s">
        <v>19</v>
      </c>
      <c r="BB3" s="86" t="s">
        <v>20</v>
      </c>
      <c r="BE3" s="110"/>
      <c r="BF3" s="110"/>
      <c r="BG3" s="111"/>
      <c r="BH3" s="110"/>
    </row>
    <row r="4" spans="1:60" ht="21">
      <c r="A4" s="55" t="s">
        <v>21</v>
      </c>
      <c r="B4" s="56">
        <v>25</v>
      </c>
      <c r="C4" s="56">
        <v>40</v>
      </c>
      <c r="D4" s="56">
        <v>25</v>
      </c>
      <c r="E4" s="56">
        <v>24</v>
      </c>
      <c r="F4" s="56">
        <v>20</v>
      </c>
      <c r="G4" s="56">
        <v>20</v>
      </c>
      <c r="H4" s="56">
        <v>26</v>
      </c>
      <c r="I4" s="56">
        <v>25</v>
      </c>
      <c r="J4" s="56">
        <v>32</v>
      </c>
      <c r="K4" s="56">
        <v>12</v>
      </c>
      <c r="L4" s="56">
        <v>17</v>
      </c>
      <c r="M4" s="56">
        <v>17</v>
      </c>
      <c r="N4" s="56">
        <v>23</v>
      </c>
      <c r="O4" s="56">
        <v>16</v>
      </c>
      <c r="P4" s="56">
        <v>13</v>
      </c>
      <c r="Q4" s="56">
        <v>28</v>
      </c>
      <c r="R4" s="56">
        <v>25</v>
      </c>
      <c r="S4" s="56">
        <v>19</v>
      </c>
      <c r="T4" s="56">
        <v>24</v>
      </c>
      <c r="U4" s="56">
        <v>21</v>
      </c>
      <c r="V4" s="56">
        <v>19</v>
      </c>
      <c r="W4" s="56">
        <v>30</v>
      </c>
      <c r="X4" s="56">
        <v>33</v>
      </c>
      <c r="Y4" s="56">
        <v>24</v>
      </c>
      <c r="Z4" s="56">
        <v>24</v>
      </c>
      <c r="AA4" s="56">
        <v>22</v>
      </c>
      <c r="AB4" s="56">
        <v>18</v>
      </c>
      <c r="AC4" s="56">
        <v>13</v>
      </c>
      <c r="AD4" s="56">
        <v>30</v>
      </c>
      <c r="AE4" s="56">
        <v>35</v>
      </c>
      <c r="AF4" s="56"/>
      <c r="AG4" s="63">
        <f t="shared" ref="AG4:AG11" si="0">SUM(B4:AF4)</f>
        <v>700</v>
      </c>
      <c r="AH4" s="63"/>
      <c r="AI4" s="63">
        <f>AG4+AH6+AH7+AH8</f>
        <v>700</v>
      </c>
      <c r="AK4" s="66" t="s">
        <v>5</v>
      </c>
      <c r="AL4" s="67">
        <f>AI3</f>
        <v>1286</v>
      </c>
      <c r="AM4" s="67">
        <f t="shared" ref="AM4:AM12" si="1">AI14</f>
        <v>1051</v>
      </c>
      <c r="AN4" s="67">
        <f t="shared" ref="AN4:AN12" si="2">AI25</f>
        <v>966</v>
      </c>
      <c r="AO4" s="67">
        <f t="shared" ref="AO4:AO12" si="3">AI36</f>
        <v>556</v>
      </c>
      <c r="AP4" s="67">
        <f t="shared" ref="AP4:AP12" si="4">AI47</f>
        <v>987</v>
      </c>
      <c r="AQ4" s="67">
        <f t="shared" ref="AQ4:AQ12" si="5">AI58</f>
        <v>937</v>
      </c>
      <c r="AR4" s="67">
        <f t="shared" ref="AR4:AR12" si="6">AI69</f>
        <v>1277</v>
      </c>
      <c r="AS4" s="67">
        <f t="shared" ref="AS4:AS12" si="7">AI80</f>
        <v>1378</v>
      </c>
      <c r="AT4" s="67">
        <f t="shared" ref="AT4:AT12" si="8">AI91</f>
        <v>1025</v>
      </c>
      <c r="AU4" s="67">
        <f t="shared" ref="AU4:AU12" si="9">AI102</f>
        <v>866</v>
      </c>
      <c r="AV4" s="87">
        <f>SUM(AL4:AU4)</f>
        <v>10329</v>
      </c>
      <c r="AX4" s="88">
        <v>1</v>
      </c>
      <c r="AY4" s="88" t="s">
        <v>7</v>
      </c>
      <c r="AZ4" s="88">
        <f>AL5</f>
        <v>700</v>
      </c>
      <c r="BA4" s="88">
        <f>AL7+AL9</f>
        <v>43</v>
      </c>
      <c r="BB4" s="89">
        <f>BA4/AZ4</f>
        <v>6.142857142857143E-2</v>
      </c>
      <c r="BE4" s="112"/>
      <c r="BF4" s="112"/>
      <c r="BG4" s="113"/>
      <c r="BH4" s="112"/>
    </row>
    <row r="5" spans="1:60" ht="21">
      <c r="A5" s="125" t="s">
        <v>22</v>
      </c>
      <c r="B5" s="125">
        <v>25</v>
      </c>
      <c r="C5" s="125">
        <v>36</v>
      </c>
      <c r="D5" s="125">
        <v>23</v>
      </c>
      <c r="E5" s="125">
        <v>19</v>
      </c>
      <c r="F5" s="125">
        <v>15</v>
      </c>
      <c r="G5" s="125">
        <v>18</v>
      </c>
      <c r="H5" s="125">
        <v>26</v>
      </c>
      <c r="I5" s="125">
        <v>25</v>
      </c>
      <c r="J5" s="125">
        <v>32</v>
      </c>
      <c r="K5" s="125">
        <v>12</v>
      </c>
      <c r="L5" s="125">
        <v>17</v>
      </c>
      <c r="M5" s="125">
        <v>17</v>
      </c>
      <c r="N5" s="125">
        <v>22</v>
      </c>
      <c r="O5" s="125">
        <v>14</v>
      </c>
      <c r="P5" s="125">
        <v>10</v>
      </c>
      <c r="Q5" s="125">
        <v>26</v>
      </c>
      <c r="R5" s="125">
        <v>22</v>
      </c>
      <c r="S5" s="125">
        <v>19</v>
      </c>
      <c r="T5" s="125">
        <v>24</v>
      </c>
      <c r="U5" s="125">
        <v>20</v>
      </c>
      <c r="V5" s="125">
        <v>19</v>
      </c>
      <c r="W5" s="125">
        <v>28</v>
      </c>
      <c r="X5" s="125">
        <v>32</v>
      </c>
      <c r="Y5" s="125">
        <v>24</v>
      </c>
      <c r="Z5" s="125">
        <v>20</v>
      </c>
      <c r="AA5" s="125">
        <v>19</v>
      </c>
      <c r="AB5" s="125">
        <v>15</v>
      </c>
      <c r="AC5" s="125">
        <v>10</v>
      </c>
      <c r="AD5" s="125">
        <v>30</v>
      </c>
      <c r="AE5" s="125">
        <v>35</v>
      </c>
      <c r="AF5" s="56"/>
      <c r="AG5" s="63">
        <f t="shared" si="0"/>
        <v>654</v>
      </c>
      <c r="AH5" s="63"/>
      <c r="AI5" s="63">
        <f t="shared" ref="AI5:AI11" si="10">AG5-AH5</f>
        <v>654</v>
      </c>
      <c r="AK5" s="66" t="s">
        <v>21</v>
      </c>
      <c r="AL5" s="67">
        <f t="shared" ref="AL5:AL12" si="11">AI4</f>
        <v>700</v>
      </c>
      <c r="AM5" s="67">
        <f t="shared" si="1"/>
        <v>544</v>
      </c>
      <c r="AN5" s="67">
        <f t="shared" si="2"/>
        <v>640</v>
      </c>
      <c r="AO5" s="67">
        <f t="shared" si="3"/>
        <v>385</v>
      </c>
      <c r="AP5" s="67">
        <f t="shared" si="4"/>
        <v>613</v>
      </c>
      <c r="AQ5" s="67">
        <f t="shared" si="5"/>
        <v>526</v>
      </c>
      <c r="AR5" s="67">
        <f t="shared" si="6"/>
        <v>739</v>
      </c>
      <c r="AS5" s="67">
        <f t="shared" si="7"/>
        <v>768</v>
      </c>
      <c r="AT5" s="67">
        <f t="shared" si="8"/>
        <v>577</v>
      </c>
      <c r="AU5" s="67">
        <f t="shared" si="9"/>
        <v>460</v>
      </c>
      <c r="AV5" s="87">
        <f t="shared" ref="AV5:AV12" si="12">SUM(AL5:AU5)</f>
        <v>5952</v>
      </c>
      <c r="AX5" s="90">
        <v>2</v>
      </c>
      <c r="AY5" s="90" t="s">
        <v>8</v>
      </c>
      <c r="AZ5" s="90">
        <f>AM5</f>
        <v>544</v>
      </c>
      <c r="BA5" s="90">
        <f>AM7+AM9</f>
        <v>19</v>
      </c>
      <c r="BB5" s="89">
        <f t="shared" ref="BB5:BB13" si="13">BA5/AZ5</f>
        <v>3.4926470588235295E-2</v>
      </c>
      <c r="BE5" s="112"/>
      <c r="BF5" s="112"/>
      <c r="BG5" s="113"/>
      <c r="BH5" s="114"/>
    </row>
    <row r="6" spans="1:60" ht="21">
      <c r="A6" s="125" t="s">
        <v>23</v>
      </c>
      <c r="B6" s="125">
        <v>0</v>
      </c>
      <c r="C6" s="125">
        <v>1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1</v>
      </c>
      <c r="O6" s="125">
        <v>1</v>
      </c>
      <c r="P6" s="125">
        <v>0</v>
      </c>
      <c r="Q6" s="125">
        <v>1</v>
      </c>
      <c r="R6" s="125">
        <v>0</v>
      </c>
      <c r="S6" s="125">
        <v>0</v>
      </c>
      <c r="T6" s="125">
        <v>0</v>
      </c>
      <c r="U6" s="125">
        <v>1</v>
      </c>
      <c r="V6" s="125">
        <v>0</v>
      </c>
      <c r="W6" s="125">
        <v>0</v>
      </c>
      <c r="X6" s="125">
        <v>0</v>
      </c>
      <c r="Y6" s="125">
        <v>0</v>
      </c>
      <c r="Z6" s="125">
        <v>1</v>
      </c>
      <c r="AA6" s="125">
        <v>1</v>
      </c>
      <c r="AB6" s="125">
        <v>1</v>
      </c>
      <c r="AC6" s="125">
        <v>0</v>
      </c>
      <c r="AD6" s="125">
        <v>0</v>
      </c>
      <c r="AE6" s="125">
        <v>0</v>
      </c>
      <c r="AF6" s="56"/>
      <c r="AG6" s="63">
        <f t="shared" si="0"/>
        <v>8</v>
      </c>
      <c r="AH6" s="63"/>
      <c r="AI6" s="63">
        <f t="shared" si="10"/>
        <v>8</v>
      </c>
      <c r="AK6" s="68" t="s">
        <v>22</v>
      </c>
      <c r="AL6" s="69">
        <f t="shared" si="11"/>
        <v>654</v>
      </c>
      <c r="AM6" s="69">
        <f t="shared" si="1"/>
        <v>525</v>
      </c>
      <c r="AN6" s="69">
        <f t="shared" si="2"/>
        <v>562</v>
      </c>
      <c r="AO6" s="69">
        <f t="shared" si="3"/>
        <v>352</v>
      </c>
      <c r="AP6" s="69">
        <f t="shared" si="4"/>
        <v>558</v>
      </c>
      <c r="AQ6" s="69">
        <f t="shared" si="5"/>
        <v>488</v>
      </c>
      <c r="AR6" s="69">
        <f t="shared" si="6"/>
        <v>656</v>
      </c>
      <c r="AS6" s="69">
        <f t="shared" si="7"/>
        <v>650</v>
      </c>
      <c r="AT6" s="69">
        <f t="shared" si="8"/>
        <v>557</v>
      </c>
      <c r="AU6" s="69">
        <f t="shared" si="9"/>
        <v>444</v>
      </c>
      <c r="AV6" s="91">
        <f t="shared" si="12"/>
        <v>5446</v>
      </c>
      <c r="AX6" s="90">
        <v>3</v>
      </c>
      <c r="AY6" s="90" t="s">
        <v>9</v>
      </c>
      <c r="AZ6" s="90">
        <f>AN5</f>
        <v>640</v>
      </c>
      <c r="BA6" s="90">
        <f>AN7+AN9</f>
        <v>61</v>
      </c>
      <c r="BB6" s="89">
        <f t="shared" si="13"/>
        <v>9.5312499999999994E-2</v>
      </c>
      <c r="BE6" s="112"/>
      <c r="BF6" s="112"/>
      <c r="BG6" s="113"/>
      <c r="BH6" s="112"/>
    </row>
    <row r="7" spans="1:60" ht="21">
      <c r="A7" s="125" t="s">
        <v>24</v>
      </c>
      <c r="B7" s="125">
        <v>0</v>
      </c>
      <c r="C7" s="125">
        <v>0</v>
      </c>
      <c r="D7" s="125">
        <v>0</v>
      </c>
      <c r="E7" s="125">
        <v>1</v>
      </c>
      <c r="F7" s="125">
        <v>0</v>
      </c>
      <c r="G7" s="125">
        <v>0</v>
      </c>
      <c r="H7" s="125">
        <v>0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1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1</v>
      </c>
      <c r="AB7" s="125">
        <v>0</v>
      </c>
      <c r="AC7" s="125">
        <v>0</v>
      </c>
      <c r="AD7" s="125">
        <v>0</v>
      </c>
      <c r="AE7" s="125">
        <v>0</v>
      </c>
      <c r="AF7" s="56"/>
      <c r="AG7" s="63">
        <f t="shared" si="0"/>
        <v>3</v>
      </c>
      <c r="AH7" s="63"/>
      <c r="AI7" s="63">
        <f t="shared" si="10"/>
        <v>3</v>
      </c>
      <c r="AK7" s="68" t="s">
        <v>23</v>
      </c>
      <c r="AL7" s="69">
        <f t="shared" si="11"/>
        <v>8</v>
      </c>
      <c r="AM7" s="69">
        <f t="shared" si="1"/>
        <v>4</v>
      </c>
      <c r="AN7" s="69">
        <f t="shared" si="2"/>
        <v>31</v>
      </c>
      <c r="AO7" s="69">
        <f t="shared" si="3"/>
        <v>17</v>
      </c>
      <c r="AP7" s="69">
        <f t="shared" si="4"/>
        <v>13</v>
      </c>
      <c r="AQ7" s="69">
        <f t="shared" si="5"/>
        <v>11</v>
      </c>
      <c r="AR7" s="69">
        <f t="shared" si="6"/>
        <v>10</v>
      </c>
      <c r="AS7" s="69">
        <f t="shared" si="7"/>
        <v>7</v>
      </c>
      <c r="AT7" s="69">
        <f t="shared" si="8"/>
        <v>2</v>
      </c>
      <c r="AU7" s="69">
        <f t="shared" si="9"/>
        <v>4</v>
      </c>
      <c r="AV7" s="91">
        <f t="shared" si="12"/>
        <v>107</v>
      </c>
      <c r="AX7" s="90">
        <v>4</v>
      </c>
      <c r="AY7" s="90" t="s">
        <v>25</v>
      </c>
      <c r="AZ7" s="90">
        <f>AO5</f>
        <v>385</v>
      </c>
      <c r="BA7" s="90">
        <f>AO7+AO9</f>
        <v>24</v>
      </c>
      <c r="BB7" s="89">
        <f t="shared" si="13"/>
        <v>6.2337662337662338E-2</v>
      </c>
      <c r="BE7" s="112"/>
      <c r="BF7" s="112"/>
      <c r="BG7" s="113"/>
      <c r="BH7" s="114"/>
    </row>
    <row r="8" spans="1:60" ht="21">
      <c r="A8" s="125" t="s">
        <v>26</v>
      </c>
      <c r="B8" s="125">
        <v>0</v>
      </c>
      <c r="C8" s="125">
        <v>3</v>
      </c>
      <c r="D8" s="125">
        <v>2</v>
      </c>
      <c r="E8" s="125">
        <v>4</v>
      </c>
      <c r="F8" s="125">
        <v>5</v>
      </c>
      <c r="G8" s="125">
        <v>2</v>
      </c>
      <c r="H8" s="125">
        <v>0</v>
      </c>
      <c r="I8" s="125">
        <v>0</v>
      </c>
      <c r="J8" s="125">
        <v>0</v>
      </c>
      <c r="K8" s="125">
        <v>0</v>
      </c>
      <c r="L8" s="125">
        <v>0</v>
      </c>
      <c r="M8" s="125">
        <v>0</v>
      </c>
      <c r="N8" s="125">
        <v>0</v>
      </c>
      <c r="O8" s="125">
        <v>1</v>
      </c>
      <c r="P8" s="125">
        <v>3</v>
      </c>
      <c r="Q8" s="125">
        <v>1</v>
      </c>
      <c r="R8" s="125">
        <v>2</v>
      </c>
      <c r="S8" s="125">
        <v>0</v>
      </c>
      <c r="T8" s="125">
        <v>0</v>
      </c>
      <c r="U8" s="125">
        <v>0</v>
      </c>
      <c r="V8" s="125">
        <v>0</v>
      </c>
      <c r="W8" s="125">
        <v>2</v>
      </c>
      <c r="X8" s="125">
        <v>1</v>
      </c>
      <c r="Y8" s="125">
        <v>0</v>
      </c>
      <c r="Z8" s="125">
        <v>3</v>
      </c>
      <c r="AA8" s="125">
        <v>1</v>
      </c>
      <c r="AB8" s="125">
        <v>2</v>
      </c>
      <c r="AC8" s="125">
        <v>3</v>
      </c>
      <c r="AD8" s="125">
        <v>0</v>
      </c>
      <c r="AE8" s="125">
        <v>0</v>
      </c>
      <c r="AF8" s="56"/>
      <c r="AG8" s="63">
        <f t="shared" si="0"/>
        <v>35</v>
      </c>
      <c r="AH8" s="63"/>
      <c r="AI8" s="63">
        <f t="shared" si="10"/>
        <v>35</v>
      </c>
      <c r="AJ8" t="s">
        <v>27</v>
      </c>
      <c r="AK8" s="68" t="s">
        <v>24</v>
      </c>
      <c r="AL8" s="69">
        <f t="shared" si="11"/>
        <v>3</v>
      </c>
      <c r="AM8" s="69">
        <f t="shared" si="1"/>
        <v>0</v>
      </c>
      <c r="AN8" s="69">
        <f t="shared" si="2"/>
        <v>17</v>
      </c>
      <c r="AO8" s="69">
        <f t="shared" si="3"/>
        <v>9</v>
      </c>
      <c r="AP8" s="69">
        <f t="shared" si="4"/>
        <v>15</v>
      </c>
      <c r="AQ8" s="69">
        <f t="shared" si="5"/>
        <v>1</v>
      </c>
      <c r="AR8" s="69">
        <f t="shared" si="6"/>
        <v>4</v>
      </c>
      <c r="AS8" s="69">
        <f t="shared" si="7"/>
        <v>1</v>
      </c>
      <c r="AT8" s="69">
        <f t="shared" si="8"/>
        <v>0</v>
      </c>
      <c r="AU8" s="69">
        <f t="shared" si="9"/>
        <v>0</v>
      </c>
      <c r="AV8" s="91">
        <f t="shared" si="12"/>
        <v>50</v>
      </c>
      <c r="AX8" s="90">
        <v>5</v>
      </c>
      <c r="AY8" s="90" t="s">
        <v>11</v>
      </c>
      <c r="AZ8" s="90">
        <f>AP5</f>
        <v>613</v>
      </c>
      <c r="BA8" s="90">
        <f>AP7+AP9</f>
        <v>40</v>
      </c>
      <c r="BB8" s="89">
        <f t="shared" si="13"/>
        <v>6.5252854812398037E-2</v>
      </c>
      <c r="BE8" s="112"/>
      <c r="BF8" s="112"/>
      <c r="BG8" s="113"/>
      <c r="BH8" s="114"/>
    </row>
    <row r="9" spans="1:60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0"/>
        <v>0</v>
      </c>
      <c r="AK9" s="68" t="s">
        <v>26</v>
      </c>
      <c r="AL9" s="69">
        <f t="shared" si="11"/>
        <v>35</v>
      </c>
      <c r="AM9" s="69">
        <f t="shared" si="1"/>
        <v>15</v>
      </c>
      <c r="AN9" s="69">
        <f t="shared" si="2"/>
        <v>30</v>
      </c>
      <c r="AO9" s="69">
        <f t="shared" si="3"/>
        <v>7</v>
      </c>
      <c r="AP9" s="69">
        <f t="shared" si="4"/>
        <v>27</v>
      </c>
      <c r="AQ9" s="69">
        <f t="shared" si="5"/>
        <v>26</v>
      </c>
      <c r="AR9" s="69">
        <f t="shared" si="6"/>
        <v>69</v>
      </c>
      <c r="AS9" s="69">
        <f t="shared" si="7"/>
        <v>110</v>
      </c>
      <c r="AT9" s="69">
        <f t="shared" si="8"/>
        <v>18</v>
      </c>
      <c r="AU9" s="69">
        <f t="shared" si="9"/>
        <v>12</v>
      </c>
      <c r="AV9" s="91">
        <f t="shared" si="12"/>
        <v>349</v>
      </c>
      <c r="AX9" s="90">
        <v>6</v>
      </c>
      <c r="AY9" s="90" t="s">
        <v>13</v>
      </c>
      <c r="AZ9" s="90">
        <f>AQ5</f>
        <v>526</v>
      </c>
      <c r="BA9" s="90">
        <f>AQ7+AQ9</f>
        <v>37</v>
      </c>
      <c r="BB9" s="89">
        <f t="shared" si="13"/>
        <v>7.0342205323193921E-2</v>
      </c>
      <c r="BE9" s="112"/>
      <c r="BF9" s="112"/>
      <c r="BG9" s="113"/>
      <c r="BH9" s="112"/>
    </row>
    <row r="10" spans="1:60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0"/>
        <v>0</v>
      </c>
      <c r="AK10" s="66" t="s">
        <v>28</v>
      </c>
      <c r="AL10" s="67">
        <f t="shared" si="11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87">
        <f t="shared" si="12"/>
        <v>0</v>
      </c>
      <c r="AX10" s="90">
        <v>7</v>
      </c>
      <c r="AY10" s="90" t="s">
        <v>125</v>
      </c>
      <c r="AZ10" s="90">
        <f>AR5</f>
        <v>739</v>
      </c>
      <c r="BA10" s="90">
        <f>AR7+AR9</f>
        <v>79</v>
      </c>
      <c r="BB10" s="89">
        <f t="shared" si="13"/>
        <v>0.10690121786197564</v>
      </c>
      <c r="BE10" s="112"/>
      <c r="BF10" s="112"/>
      <c r="BG10" s="113"/>
      <c r="BH10" s="112"/>
    </row>
    <row r="11" spans="1:60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0"/>
        <v>0</v>
      </c>
      <c r="AK11" s="66" t="s">
        <v>29</v>
      </c>
      <c r="AL11" s="72">
        <f t="shared" si="11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72">
        <f t="shared" si="8"/>
        <v>0</v>
      </c>
      <c r="AU11" s="72">
        <f t="shared" si="9"/>
        <v>0</v>
      </c>
      <c r="AV11" s="92">
        <f t="shared" si="12"/>
        <v>0</v>
      </c>
      <c r="AX11" s="90">
        <v>8</v>
      </c>
      <c r="AY11" s="90" t="s">
        <v>126</v>
      </c>
      <c r="AZ11" s="90">
        <f>AS5</f>
        <v>768</v>
      </c>
      <c r="BA11" s="90">
        <f>AS7+AS9</f>
        <v>117</v>
      </c>
      <c r="BB11" s="89">
        <f t="shared" si="13"/>
        <v>0.15234375</v>
      </c>
      <c r="BE11" s="112"/>
      <c r="BF11" s="112"/>
      <c r="BG11" s="113"/>
      <c r="BH11" s="112"/>
    </row>
    <row r="12" spans="1:60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1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72">
        <f t="shared" si="8"/>
        <v>0</v>
      </c>
      <c r="AU12" s="72">
        <f t="shared" si="9"/>
        <v>0</v>
      </c>
      <c r="AV12" s="92">
        <f t="shared" si="12"/>
        <v>0</v>
      </c>
      <c r="AX12" s="90">
        <v>9</v>
      </c>
      <c r="AY12" s="90" t="s">
        <v>14</v>
      </c>
      <c r="AZ12" s="90">
        <f>AT5</f>
        <v>577</v>
      </c>
      <c r="BA12" s="90">
        <f>AT7+AT9</f>
        <v>20</v>
      </c>
      <c r="BB12" s="89">
        <f t="shared" si="13"/>
        <v>3.4662045060658578E-2</v>
      </c>
      <c r="BE12" s="112"/>
      <c r="BF12" s="112"/>
      <c r="BG12" s="113"/>
      <c r="BH12" s="114"/>
    </row>
    <row r="13" spans="1:60" ht="21">
      <c r="A13" s="53"/>
      <c r="B13" s="54">
        <v>45659</v>
      </c>
      <c r="C13" s="54">
        <v>45660</v>
      </c>
      <c r="D13" s="54">
        <v>45661</v>
      </c>
      <c r="E13" s="54">
        <v>45662</v>
      </c>
      <c r="F13" s="54">
        <v>45663</v>
      </c>
      <c r="G13" s="54">
        <v>45664</v>
      </c>
      <c r="H13" s="54">
        <v>45665</v>
      </c>
      <c r="I13" s="54">
        <v>45666</v>
      </c>
      <c r="J13" s="54">
        <v>45667</v>
      </c>
      <c r="K13" s="54">
        <v>45668</v>
      </c>
      <c r="L13" s="54">
        <v>45669</v>
      </c>
      <c r="M13" s="54">
        <v>45670</v>
      </c>
      <c r="N13" s="54">
        <v>45671</v>
      </c>
      <c r="O13" s="54">
        <v>45672</v>
      </c>
      <c r="P13" s="54">
        <v>45673</v>
      </c>
      <c r="Q13" s="54">
        <v>45674</v>
      </c>
      <c r="R13" s="54">
        <v>45675</v>
      </c>
      <c r="S13" s="54">
        <v>45676</v>
      </c>
      <c r="T13" s="54">
        <v>45677</v>
      </c>
      <c r="U13" s="54">
        <v>45678</v>
      </c>
      <c r="V13" s="54">
        <v>45679</v>
      </c>
      <c r="W13" s="54">
        <v>45680</v>
      </c>
      <c r="X13" s="54">
        <v>45681</v>
      </c>
      <c r="Y13" s="54">
        <v>45682</v>
      </c>
      <c r="Z13" s="54">
        <v>45683</v>
      </c>
      <c r="AA13" s="54">
        <v>45684</v>
      </c>
      <c r="AB13" s="54">
        <v>45685</v>
      </c>
      <c r="AC13" s="54">
        <v>45686</v>
      </c>
      <c r="AD13" s="54">
        <v>45687</v>
      </c>
      <c r="AE13" s="54">
        <v>45688</v>
      </c>
      <c r="AF13" s="54">
        <v>45657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43</v>
      </c>
      <c r="AM13" s="74">
        <f t="shared" ref="AM13:AV13" si="14">AM7+AM9</f>
        <v>19</v>
      </c>
      <c r="AN13" s="74">
        <f t="shared" si="14"/>
        <v>61</v>
      </c>
      <c r="AO13" s="74">
        <f t="shared" si="14"/>
        <v>24</v>
      </c>
      <c r="AP13" s="74">
        <f t="shared" si="14"/>
        <v>40</v>
      </c>
      <c r="AQ13" s="74">
        <f t="shared" si="14"/>
        <v>37</v>
      </c>
      <c r="AR13" s="74">
        <f t="shared" si="14"/>
        <v>79</v>
      </c>
      <c r="AS13" s="74">
        <f t="shared" si="14"/>
        <v>117</v>
      </c>
      <c r="AT13" s="74">
        <f t="shared" si="14"/>
        <v>20</v>
      </c>
      <c r="AU13" s="74">
        <f t="shared" si="14"/>
        <v>16</v>
      </c>
      <c r="AV13" s="93">
        <f t="shared" si="14"/>
        <v>456</v>
      </c>
      <c r="AX13" s="90">
        <v>10</v>
      </c>
      <c r="AY13" s="90" t="s">
        <v>15</v>
      </c>
      <c r="AZ13" s="90">
        <f>AU5</f>
        <v>460</v>
      </c>
      <c r="BA13" s="90">
        <f>AU7+AU9</f>
        <v>16</v>
      </c>
      <c r="BB13" s="89">
        <f t="shared" si="13"/>
        <v>3.4782608695652174E-2</v>
      </c>
      <c r="BE13" s="112"/>
      <c r="BF13" s="112"/>
      <c r="BG13" s="113"/>
      <c r="BH13" s="114"/>
    </row>
    <row r="14" spans="1:60" ht="21.75" thickBot="1">
      <c r="A14" s="55" t="s">
        <v>5</v>
      </c>
      <c r="B14" s="56">
        <v>29</v>
      </c>
      <c r="C14" s="56">
        <v>66</v>
      </c>
      <c r="D14" s="56">
        <v>45</v>
      </c>
      <c r="E14" s="56">
        <v>37</v>
      </c>
      <c r="F14" s="56">
        <v>35</v>
      </c>
      <c r="G14" s="56">
        <v>24</v>
      </c>
      <c r="H14" s="56">
        <v>31</v>
      </c>
      <c r="I14" s="56">
        <v>26</v>
      </c>
      <c r="J14" s="56">
        <v>44</v>
      </c>
      <c r="K14" s="56">
        <v>26</v>
      </c>
      <c r="L14" s="56">
        <v>20</v>
      </c>
      <c r="M14" s="56">
        <v>23</v>
      </c>
      <c r="N14" s="56">
        <v>29</v>
      </c>
      <c r="O14" s="56">
        <v>40</v>
      </c>
      <c r="P14" s="56">
        <v>44</v>
      </c>
      <c r="Q14" s="56">
        <v>54</v>
      </c>
      <c r="R14" s="56">
        <v>29</v>
      </c>
      <c r="S14" s="56">
        <v>35</v>
      </c>
      <c r="T14" s="56">
        <v>32</v>
      </c>
      <c r="U14" s="56">
        <v>25</v>
      </c>
      <c r="V14" s="56">
        <v>44</v>
      </c>
      <c r="W14" s="56">
        <v>29</v>
      </c>
      <c r="X14" s="56">
        <v>50</v>
      </c>
      <c r="Y14" s="56">
        <v>33</v>
      </c>
      <c r="Z14" s="56">
        <v>26</v>
      </c>
      <c r="AA14" s="56">
        <v>33</v>
      </c>
      <c r="AB14" s="56">
        <v>27</v>
      </c>
      <c r="AC14" s="56">
        <v>18</v>
      </c>
      <c r="AD14" s="56">
        <v>45</v>
      </c>
      <c r="AE14" s="56">
        <v>52</v>
      </c>
      <c r="AF14" s="56"/>
      <c r="AG14" s="63">
        <f>SUM(B14:AF14)</f>
        <v>1051</v>
      </c>
      <c r="AH14" s="63"/>
      <c r="AI14" s="63">
        <f>AG14</f>
        <v>1051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X14" s="63"/>
      <c r="AY14" s="63"/>
      <c r="AZ14" s="63"/>
      <c r="BA14" s="63"/>
      <c r="BB14" s="63"/>
      <c r="BE14" s="112"/>
      <c r="BF14" s="112"/>
      <c r="BG14" s="113"/>
      <c r="BH14" s="114"/>
    </row>
    <row r="15" spans="1:60" ht="21">
      <c r="A15" s="55" t="s">
        <v>21</v>
      </c>
      <c r="B15" s="56">
        <v>17</v>
      </c>
      <c r="C15" s="56">
        <v>38</v>
      </c>
      <c r="D15" s="56">
        <v>23</v>
      </c>
      <c r="E15" s="56">
        <v>19</v>
      </c>
      <c r="F15" s="56">
        <v>18</v>
      </c>
      <c r="G15" s="56">
        <v>14</v>
      </c>
      <c r="H15" s="56">
        <v>14</v>
      </c>
      <c r="I15" s="56">
        <v>15</v>
      </c>
      <c r="J15" s="56">
        <v>23</v>
      </c>
      <c r="K15" s="56">
        <v>9</v>
      </c>
      <c r="L15" s="56">
        <v>10</v>
      </c>
      <c r="M15" s="56">
        <v>6</v>
      </c>
      <c r="N15" s="56">
        <v>16</v>
      </c>
      <c r="O15" s="56">
        <v>21</v>
      </c>
      <c r="P15" s="56">
        <v>23</v>
      </c>
      <c r="Q15" s="56">
        <v>40</v>
      </c>
      <c r="R15" s="56">
        <v>10</v>
      </c>
      <c r="S15" s="56">
        <v>21</v>
      </c>
      <c r="T15" s="56">
        <v>16</v>
      </c>
      <c r="U15" s="56">
        <v>13</v>
      </c>
      <c r="V15" s="56">
        <v>23</v>
      </c>
      <c r="W15" s="56">
        <v>17</v>
      </c>
      <c r="X15" s="56">
        <v>24</v>
      </c>
      <c r="Y15" s="56">
        <v>14</v>
      </c>
      <c r="Z15" s="56">
        <v>15</v>
      </c>
      <c r="AA15" s="56">
        <v>14</v>
      </c>
      <c r="AB15" s="56">
        <v>17</v>
      </c>
      <c r="AC15" s="56">
        <v>6</v>
      </c>
      <c r="AD15" s="56">
        <v>24</v>
      </c>
      <c r="AE15" s="56">
        <v>24</v>
      </c>
      <c r="AF15" s="56"/>
      <c r="AG15" s="63">
        <f t="shared" ref="AG15:AG22" si="15">SUM(B15:AF15)</f>
        <v>544</v>
      </c>
      <c r="AH15" s="63"/>
      <c r="AI15" s="63">
        <f>AG15+AH17+AH18+AH19</f>
        <v>544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X15" s="94" t="s">
        <v>35</v>
      </c>
      <c r="AY15" s="95" t="s">
        <v>36</v>
      </c>
      <c r="AZ15" s="95" t="s">
        <v>2</v>
      </c>
      <c r="BA15" s="95" t="s">
        <v>37</v>
      </c>
      <c r="BB15" s="96" t="s">
        <v>38</v>
      </c>
      <c r="BE15" s="112"/>
      <c r="BF15" s="112"/>
      <c r="BG15" s="113"/>
      <c r="BH15" s="112"/>
    </row>
    <row r="16" spans="1:60" ht="18.75" customHeight="1">
      <c r="A16" s="125" t="s">
        <v>22</v>
      </c>
      <c r="B16" s="125">
        <v>17</v>
      </c>
      <c r="C16" s="125">
        <v>37</v>
      </c>
      <c r="D16" s="125">
        <v>23</v>
      </c>
      <c r="E16" s="125">
        <v>19</v>
      </c>
      <c r="F16" s="125">
        <v>18</v>
      </c>
      <c r="G16" s="125">
        <v>14</v>
      </c>
      <c r="H16" s="125">
        <v>12</v>
      </c>
      <c r="I16" s="125">
        <v>15</v>
      </c>
      <c r="J16" s="125">
        <v>23</v>
      </c>
      <c r="K16" s="125">
        <v>9</v>
      </c>
      <c r="L16" s="125">
        <v>10</v>
      </c>
      <c r="M16" s="125">
        <v>6</v>
      </c>
      <c r="N16" s="125">
        <v>14</v>
      </c>
      <c r="O16" s="125">
        <v>19</v>
      </c>
      <c r="P16" s="125">
        <v>23</v>
      </c>
      <c r="Q16" s="125">
        <v>37</v>
      </c>
      <c r="R16" s="125">
        <v>10</v>
      </c>
      <c r="S16" s="125">
        <v>20</v>
      </c>
      <c r="T16" s="125">
        <v>15</v>
      </c>
      <c r="U16" s="125">
        <v>12</v>
      </c>
      <c r="V16" s="125">
        <v>22</v>
      </c>
      <c r="W16" s="125">
        <v>16</v>
      </c>
      <c r="X16" s="125">
        <v>22</v>
      </c>
      <c r="Y16" s="125">
        <v>14</v>
      </c>
      <c r="Z16" s="125">
        <v>14</v>
      </c>
      <c r="AA16" s="125">
        <v>14</v>
      </c>
      <c r="AB16" s="125">
        <v>16</v>
      </c>
      <c r="AC16" s="125">
        <v>6</v>
      </c>
      <c r="AD16" s="125">
        <v>24</v>
      </c>
      <c r="AE16" s="125">
        <v>24</v>
      </c>
      <c r="AF16" s="56"/>
      <c r="AG16" s="63">
        <f t="shared" si="15"/>
        <v>525</v>
      </c>
      <c r="AH16" s="63"/>
      <c r="AI16" s="63">
        <f>AG16+AH17+AH18+AH19</f>
        <v>525</v>
      </c>
      <c r="AK16" s="265" t="s">
        <v>128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7"/>
      <c r="AX16" s="97">
        <v>100</v>
      </c>
      <c r="AY16" s="98">
        <v>0.02</v>
      </c>
      <c r="AZ16" s="63">
        <f t="shared" ref="AZ16:AZ25" si="16">AX16*AY16</f>
        <v>2</v>
      </c>
      <c r="BA16" s="63">
        <v>1</v>
      </c>
      <c r="BB16" s="99">
        <f>AZ16-BA16</f>
        <v>1</v>
      </c>
      <c r="BE16" s="112"/>
      <c r="BF16" s="112"/>
      <c r="BG16" s="113"/>
      <c r="BH16" s="114"/>
    </row>
    <row r="17" spans="1:60" ht="18.75" customHeight="1">
      <c r="A17" s="125" t="s">
        <v>23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5">
        <v>1</v>
      </c>
      <c r="O17" s="125">
        <v>0</v>
      </c>
      <c r="P17" s="125">
        <v>0</v>
      </c>
      <c r="Q17" s="125">
        <v>1</v>
      </c>
      <c r="R17" s="125">
        <v>0</v>
      </c>
      <c r="S17" s="125">
        <v>0</v>
      </c>
      <c r="T17" s="125">
        <v>0</v>
      </c>
      <c r="U17" s="125">
        <v>1</v>
      </c>
      <c r="V17" s="125">
        <v>0</v>
      </c>
      <c r="W17" s="125">
        <v>0</v>
      </c>
      <c r="X17" s="125">
        <v>0</v>
      </c>
      <c r="Y17" s="125">
        <v>0</v>
      </c>
      <c r="Z17" s="125">
        <v>1</v>
      </c>
      <c r="AA17" s="125">
        <v>0</v>
      </c>
      <c r="AB17" s="125">
        <v>0</v>
      </c>
      <c r="AC17" s="125">
        <v>0</v>
      </c>
      <c r="AD17" s="125">
        <v>0</v>
      </c>
      <c r="AE17" s="125">
        <v>0</v>
      </c>
      <c r="AF17" s="56"/>
      <c r="AG17" s="63">
        <f t="shared" si="15"/>
        <v>4</v>
      </c>
      <c r="AH17" s="63"/>
      <c r="AI17" s="63">
        <f t="shared" ref="AI17:AI22" si="17">AG17-AH17</f>
        <v>4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70"/>
      <c r="AX17" s="97">
        <v>200</v>
      </c>
      <c r="AY17" s="98">
        <v>0.02</v>
      </c>
      <c r="AZ17" s="63">
        <f t="shared" si="16"/>
        <v>4</v>
      </c>
      <c r="BA17" s="63">
        <v>1</v>
      </c>
      <c r="BB17" s="99">
        <f t="shared" ref="BB17:BB25" si="18">AZ17-BA17</f>
        <v>3</v>
      </c>
      <c r="BE17" s="112"/>
      <c r="BF17" s="112"/>
      <c r="BG17" s="113"/>
      <c r="BH17" s="112"/>
    </row>
    <row r="18" spans="1:60" ht="23.25">
      <c r="A18" s="125" t="s">
        <v>24</v>
      </c>
      <c r="B18" s="125">
        <v>0</v>
      </c>
      <c r="C18" s="125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0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  <c r="AD18" s="125">
        <v>0</v>
      </c>
      <c r="AE18" s="125">
        <v>0</v>
      </c>
      <c r="AF18" s="56"/>
      <c r="AG18" s="63">
        <f t="shared" si="15"/>
        <v>0</v>
      </c>
      <c r="AH18" s="63"/>
      <c r="AI18" s="63">
        <f t="shared" si="17"/>
        <v>0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76" t="s">
        <v>14</v>
      </c>
      <c r="AU18" s="76" t="s">
        <v>15</v>
      </c>
      <c r="AV18" s="100" t="s">
        <v>2</v>
      </c>
      <c r="AX18" s="97">
        <v>300</v>
      </c>
      <c r="AY18" s="98">
        <v>0.02</v>
      </c>
      <c r="AZ18" s="63">
        <f t="shared" si="16"/>
        <v>6</v>
      </c>
      <c r="BA18" s="63">
        <v>1</v>
      </c>
      <c r="BB18" s="99">
        <f t="shared" si="18"/>
        <v>5</v>
      </c>
      <c r="BE18" s="115"/>
      <c r="BF18" s="115"/>
      <c r="BG18" s="115"/>
      <c r="BH18" s="112"/>
    </row>
    <row r="19" spans="1:60" ht="23.25">
      <c r="A19" s="125" t="s">
        <v>26</v>
      </c>
      <c r="B19" s="125">
        <v>0</v>
      </c>
      <c r="C19" s="125">
        <v>1</v>
      </c>
      <c r="D19" s="125">
        <v>0</v>
      </c>
      <c r="E19" s="125">
        <v>0</v>
      </c>
      <c r="F19" s="125">
        <v>0</v>
      </c>
      <c r="G19" s="125">
        <v>0</v>
      </c>
      <c r="H19" s="125">
        <v>2</v>
      </c>
      <c r="I19" s="125">
        <v>0</v>
      </c>
      <c r="J19" s="125">
        <v>0</v>
      </c>
      <c r="K19" s="125">
        <v>0</v>
      </c>
      <c r="L19" s="125">
        <v>0</v>
      </c>
      <c r="M19" s="125">
        <v>0</v>
      </c>
      <c r="N19" s="125">
        <v>1</v>
      </c>
      <c r="O19" s="125">
        <v>2</v>
      </c>
      <c r="P19" s="125">
        <v>0</v>
      </c>
      <c r="Q19" s="125">
        <v>2</v>
      </c>
      <c r="R19" s="125">
        <v>0</v>
      </c>
      <c r="S19" s="125">
        <v>1</v>
      </c>
      <c r="T19" s="125">
        <v>1</v>
      </c>
      <c r="U19" s="125">
        <v>0</v>
      </c>
      <c r="V19" s="125">
        <v>1</v>
      </c>
      <c r="W19" s="125">
        <v>1</v>
      </c>
      <c r="X19" s="125">
        <v>2</v>
      </c>
      <c r="Y19" s="125">
        <v>0</v>
      </c>
      <c r="Z19" s="125">
        <v>0</v>
      </c>
      <c r="AA19" s="125">
        <v>0</v>
      </c>
      <c r="AB19" s="125">
        <v>1</v>
      </c>
      <c r="AC19" s="125">
        <v>0</v>
      </c>
      <c r="AD19" s="125">
        <v>0</v>
      </c>
      <c r="AE19" s="125">
        <v>0</v>
      </c>
      <c r="AF19" s="56"/>
      <c r="AG19" s="63">
        <f t="shared" si="15"/>
        <v>15</v>
      </c>
      <c r="AH19" s="63"/>
      <c r="AI19" s="63">
        <f t="shared" si="17"/>
        <v>15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101"/>
      <c r="AX19" s="97">
        <v>400</v>
      </c>
      <c r="AY19" s="98">
        <v>0.02</v>
      </c>
      <c r="AZ19" s="63">
        <f t="shared" si="16"/>
        <v>8</v>
      </c>
      <c r="BA19" s="63">
        <v>1</v>
      </c>
      <c r="BB19" s="99">
        <f t="shared" si="18"/>
        <v>7</v>
      </c>
      <c r="BE19" s="112"/>
      <c r="BF19" s="112"/>
      <c r="BG19" s="113"/>
      <c r="BH19" s="116"/>
    </row>
    <row r="20" spans="1:60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5"/>
        <v>0</v>
      </c>
      <c r="AH20" s="70"/>
      <c r="AI20" s="63">
        <f t="shared" si="17"/>
        <v>0</v>
      </c>
      <c r="AK20" s="77" t="s">
        <v>40</v>
      </c>
      <c r="AL20" s="79">
        <f>+AL5/AL4</f>
        <v>0.54432348367029548</v>
      </c>
      <c r="AM20" s="79">
        <f t="shared" ref="AM20:AV21" si="19">+AM5/AM4</f>
        <v>0.51760228353948623</v>
      </c>
      <c r="AN20" s="79">
        <f t="shared" si="19"/>
        <v>0.66252587991718426</v>
      </c>
      <c r="AO20" s="79">
        <f t="shared" si="19"/>
        <v>0.69244604316546765</v>
      </c>
      <c r="AP20" s="79">
        <f t="shared" si="19"/>
        <v>0.62107396149949345</v>
      </c>
      <c r="AQ20" s="79">
        <f t="shared" si="19"/>
        <v>0.56136606189967986</v>
      </c>
      <c r="AR20" s="79">
        <f t="shared" si="19"/>
        <v>0.57870007830853565</v>
      </c>
      <c r="AS20" s="79">
        <f t="shared" si="19"/>
        <v>0.55732946298984032</v>
      </c>
      <c r="AT20" s="79">
        <f t="shared" si="19"/>
        <v>0.56292682926829263</v>
      </c>
      <c r="AU20" s="79">
        <f t="shared" si="19"/>
        <v>0.53117782909930711</v>
      </c>
      <c r="AV20" s="102">
        <f t="shared" si="19"/>
        <v>0.57624164972407788</v>
      </c>
      <c r="AX20" s="97">
        <v>500</v>
      </c>
      <c r="AY20" s="98">
        <v>0.02</v>
      </c>
      <c r="AZ20" s="63">
        <f t="shared" si="16"/>
        <v>10</v>
      </c>
      <c r="BA20" s="63">
        <v>1</v>
      </c>
      <c r="BB20" s="99">
        <f t="shared" si="18"/>
        <v>9</v>
      </c>
      <c r="BE20" s="112"/>
      <c r="BF20" s="112"/>
      <c r="BG20" s="113"/>
      <c r="BH20" s="116"/>
    </row>
    <row r="21" spans="1:60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5"/>
        <v>0</v>
      </c>
      <c r="AH21" s="71"/>
      <c r="AI21" s="63">
        <f t="shared" si="17"/>
        <v>0</v>
      </c>
      <c r="AK21" s="77" t="s">
        <v>41</v>
      </c>
      <c r="AL21" s="79">
        <f>+AL6/AL5</f>
        <v>0.93428571428571427</v>
      </c>
      <c r="AM21" s="79">
        <f t="shared" si="19"/>
        <v>0.96507352941176472</v>
      </c>
      <c r="AN21" s="79">
        <f t="shared" si="19"/>
        <v>0.87812500000000004</v>
      </c>
      <c r="AO21" s="79">
        <f t="shared" si="19"/>
        <v>0.91428571428571426</v>
      </c>
      <c r="AP21" s="79">
        <f t="shared" si="19"/>
        <v>0.91027732463295274</v>
      </c>
      <c r="AQ21" s="79">
        <f t="shared" si="19"/>
        <v>0.92775665399239549</v>
      </c>
      <c r="AR21" s="79">
        <f t="shared" si="19"/>
        <v>0.88768606224627877</v>
      </c>
      <c r="AS21" s="79">
        <f t="shared" si="19"/>
        <v>0.84635416666666663</v>
      </c>
      <c r="AT21" s="79">
        <f t="shared" si="19"/>
        <v>0.96533795493934138</v>
      </c>
      <c r="AU21" s="79">
        <f t="shared" si="19"/>
        <v>0.9652173913043478</v>
      </c>
      <c r="AV21" s="102">
        <f t="shared" si="19"/>
        <v>0.91498655913978499</v>
      </c>
      <c r="AX21" s="97">
        <v>600</v>
      </c>
      <c r="AY21" s="98">
        <v>0.02</v>
      </c>
      <c r="AZ21" s="63">
        <f t="shared" si="16"/>
        <v>12</v>
      </c>
      <c r="BA21" s="63">
        <v>1</v>
      </c>
      <c r="BB21" s="99">
        <f t="shared" si="18"/>
        <v>11</v>
      </c>
      <c r="BE21" s="112"/>
      <c r="BF21" s="112"/>
      <c r="BG21" s="113"/>
      <c r="BH21" s="116"/>
    </row>
    <row r="22" spans="1:60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5"/>
        <v>0</v>
      </c>
      <c r="AH22" s="63"/>
      <c r="AI22" s="63">
        <f t="shared" si="17"/>
        <v>0</v>
      </c>
      <c r="AK22" s="77" t="s">
        <v>23</v>
      </c>
      <c r="AL22" s="79">
        <f>AL7/AL5</f>
        <v>1.1428571428571429E-2</v>
      </c>
      <c r="AM22" s="79">
        <f t="shared" ref="AM22:AV22" si="20">AM7/AM5</f>
        <v>7.3529411764705881E-3</v>
      </c>
      <c r="AN22" s="79">
        <f t="shared" si="20"/>
        <v>4.8437500000000001E-2</v>
      </c>
      <c r="AO22" s="79">
        <f t="shared" si="20"/>
        <v>4.4155844155844157E-2</v>
      </c>
      <c r="AP22" s="79">
        <f t="shared" si="20"/>
        <v>2.1207177814029365E-2</v>
      </c>
      <c r="AQ22" s="79">
        <f t="shared" si="20"/>
        <v>2.0912547528517109E-2</v>
      </c>
      <c r="AR22" s="79">
        <f t="shared" si="20"/>
        <v>1.3531799729364006E-2</v>
      </c>
      <c r="AS22" s="79">
        <f t="shared" si="20"/>
        <v>9.1145833333333339E-3</v>
      </c>
      <c r="AT22" s="79">
        <f t="shared" si="20"/>
        <v>3.4662045060658577E-3</v>
      </c>
      <c r="AU22" s="79">
        <f t="shared" si="20"/>
        <v>8.6956521739130436E-3</v>
      </c>
      <c r="AV22" s="102">
        <f t="shared" si="20"/>
        <v>1.797715053763441E-2</v>
      </c>
      <c r="AX22" s="97">
        <v>700</v>
      </c>
      <c r="AY22" s="98">
        <v>0.02</v>
      </c>
      <c r="AZ22" s="63">
        <f t="shared" si="16"/>
        <v>14</v>
      </c>
      <c r="BA22" s="63">
        <v>1</v>
      </c>
      <c r="BB22" s="99">
        <f t="shared" si="18"/>
        <v>13</v>
      </c>
      <c r="BE22" s="112"/>
      <c r="BF22" s="112"/>
      <c r="BG22" s="113"/>
      <c r="BH22" s="116"/>
    </row>
    <row r="23" spans="1:60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4.2857142857142859E-3</v>
      </c>
      <c r="AM23" s="79">
        <f t="shared" ref="AM23:AV23" si="21">AM8/AM5</f>
        <v>0</v>
      </c>
      <c r="AN23" s="79">
        <f t="shared" si="21"/>
        <v>2.6562499999999999E-2</v>
      </c>
      <c r="AO23" s="79">
        <f t="shared" si="21"/>
        <v>2.3376623376623377E-2</v>
      </c>
      <c r="AP23" s="79">
        <f t="shared" si="21"/>
        <v>2.4469820554649267E-2</v>
      </c>
      <c r="AQ23" s="79">
        <f t="shared" si="21"/>
        <v>1.9011406844106464E-3</v>
      </c>
      <c r="AR23" s="79">
        <f t="shared" si="21"/>
        <v>5.4127198917456026E-3</v>
      </c>
      <c r="AS23" s="79">
        <f t="shared" si="21"/>
        <v>1.3020833333333333E-3</v>
      </c>
      <c r="AT23" s="79">
        <f t="shared" si="21"/>
        <v>0</v>
      </c>
      <c r="AU23" s="79">
        <f t="shared" si="21"/>
        <v>0</v>
      </c>
      <c r="AV23" s="102">
        <f t="shared" si="21"/>
        <v>8.4005376344086016E-3</v>
      </c>
      <c r="AX23" s="97">
        <v>800</v>
      </c>
      <c r="AY23" s="98">
        <v>0.02</v>
      </c>
      <c r="AZ23" s="63">
        <f t="shared" si="16"/>
        <v>16</v>
      </c>
      <c r="BA23" s="63">
        <v>1</v>
      </c>
      <c r="BB23" s="99">
        <f t="shared" si="18"/>
        <v>15</v>
      </c>
      <c r="BE23" s="112"/>
      <c r="BF23" s="112"/>
      <c r="BG23" s="113"/>
      <c r="BH23" s="112"/>
    </row>
    <row r="24" spans="1:60" ht="23.25">
      <c r="A24" s="53"/>
      <c r="B24" s="54">
        <v>45659</v>
      </c>
      <c r="C24" s="54">
        <v>45660</v>
      </c>
      <c r="D24" s="54">
        <v>45661</v>
      </c>
      <c r="E24" s="54">
        <v>45662</v>
      </c>
      <c r="F24" s="54">
        <v>45663</v>
      </c>
      <c r="G24" s="54">
        <v>45664</v>
      </c>
      <c r="H24" s="54">
        <v>45665</v>
      </c>
      <c r="I24" s="54">
        <v>45666</v>
      </c>
      <c r="J24" s="54">
        <v>45667</v>
      </c>
      <c r="K24" s="54">
        <v>45668</v>
      </c>
      <c r="L24" s="54">
        <v>45669</v>
      </c>
      <c r="M24" s="54">
        <v>45670</v>
      </c>
      <c r="N24" s="54">
        <v>45671</v>
      </c>
      <c r="O24" s="54">
        <v>45672</v>
      </c>
      <c r="P24" s="54">
        <v>45673</v>
      </c>
      <c r="Q24" s="54">
        <v>45674</v>
      </c>
      <c r="R24" s="54">
        <v>45675</v>
      </c>
      <c r="S24" s="54">
        <v>45676</v>
      </c>
      <c r="T24" s="54">
        <v>45677</v>
      </c>
      <c r="U24" s="54">
        <v>45678</v>
      </c>
      <c r="V24" s="54">
        <v>45679</v>
      </c>
      <c r="W24" s="54">
        <v>45680</v>
      </c>
      <c r="X24" s="54">
        <v>45681</v>
      </c>
      <c r="Y24" s="54">
        <v>45682</v>
      </c>
      <c r="Z24" s="54">
        <v>45683</v>
      </c>
      <c r="AA24" s="54">
        <v>45684</v>
      </c>
      <c r="AB24" s="54">
        <v>45685</v>
      </c>
      <c r="AC24" s="54">
        <v>45686</v>
      </c>
      <c r="AD24" s="54">
        <v>45687</v>
      </c>
      <c r="AE24" s="54">
        <v>45688</v>
      </c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126">
        <f>AL9/AL5</f>
        <v>0.05</v>
      </c>
      <c r="AM24" s="126">
        <f t="shared" ref="AM24:AV24" si="22">AM9/AM5</f>
        <v>2.7573529411764705E-2</v>
      </c>
      <c r="AN24" s="126">
        <f t="shared" si="22"/>
        <v>4.6875E-2</v>
      </c>
      <c r="AO24" s="126">
        <f t="shared" si="22"/>
        <v>1.8181818181818181E-2</v>
      </c>
      <c r="AP24" s="126">
        <f t="shared" si="22"/>
        <v>4.4045676998368678E-2</v>
      </c>
      <c r="AQ24" s="126">
        <f t="shared" si="22"/>
        <v>4.9429657794676805E-2</v>
      </c>
      <c r="AR24" s="126">
        <f t="shared" si="22"/>
        <v>9.336941813261164E-2</v>
      </c>
      <c r="AS24" s="126">
        <f t="shared" si="22"/>
        <v>0.14322916666666666</v>
      </c>
      <c r="AT24" s="126">
        <f t="shared" si="22"/>
        <v>3.1195840554592721E-2</v>
      </c>
      <c r="AU24" s="126">
        <f t="shared" si="22"/>
        <v>2.6086956521739129E-2</v>
      </c>
      <c r="AV24" s="127">
        <f t="shared" si="22"/>
        <v>5.8635752688172046E-2</v>
      </c>
      <c r="AX24" s="97">
        <v>900</v>
      </c>
      <c r="AY24" s="98">
        <v>0.02</v>
      </c>
      <c r="AZ24" s="63">
        <f t="shared" si="16"/>
        <v>18</v>
      </c>
      <c r="BA24" s="63">
        <v>1</v>
      </c>
      <c r="BB24" s="99">
        <f t="shared" si="18"/>
        <v>17</v>
      </c>
      <c r="BE24" s="117"/>
      <c r="BF24" s="117"/>
      <c r="BG24" s="118"/>
      <c r="BH24" s="112"/>
    </row>
    <row r="25" spans="1:60" ht="24" thickBot="1">
      <c r="A25" s="55" t="s">
        <v>5</v>
      </c>
      <c r="B25" s="56">
        <v>34</v>
      </c>
      <c r="C25" s="56">
        <v>25</v>
      </c>
      <c r="D25" s="56">
        <v>28</v>
      </c>
      <c r="E25" s="56">
        <v>26</v>
      </c>
      <c r="F25" s="56">
        <v>25</v>
      </c>
      <c r="G25" s="56">
        <v>35</v>
      </c>
      <c r="H25" s="56">
        <v>30</v>
      </c>
      <c r="I25" s="56">
        <v>39</v>
      </c>
      <c r="J25" s="56">
        <v>42</v>
      </c>
      <c r="K25" s="56">
        <v>0</v>
      </c>
      <c r="L25" s="56">
        <v>35</v>
      </c>
      <c r="M25" s="56">
        <v>20</v>
      </c>
      <c r="N25" s="56">
        <v>28</v>
      </c>
      <c r="O25" s="56">
        <v>25</v>
      </c>
      <c r="P25" s="56">
        <v>34</v>
      </c>
      <c r="Q25" s="56">
        <v>47</v>
      </c>
      <c r="R25" s="56">
        <v>29</v>
      </c>
      <c r="S25" s="56">
        <v>27</v>
      </c>
      <c r="T25" s="56">
        <v>23</v>
      </c>
      <c r="U25" s="56">
        <v>26</v>
      </c>
      <c r="V25" s="56">
        <v>25</v>
      </c>
      <c r="W25" s="56">
        <v>51</v>
      </c>
      <c r="X25" s="56">
        <v>47</v>
      </c>
      <c r="Y25" s="56">
        <v>37</v>
      </c>
      <c r="Z25" s="56">
        <v>34</v>
      </c>
      <c r="AA25" s="56">
        <v>26</v>
      </c>
      <c r="AB25" s="56">
        <v>37</v>
      </c>
      <c r="AC25" s="56">
        <v>36</v>
      </c>
      <c r="AD25" s="56">
        <v>40</v>
      </c>
      <c r="AE25" s="56">
        <v>55</v>
      </c>
      <c r="AF25" s="56"/>
      <c r="AG25" s="63">
        <f>SUM(B25:AF25)</f>
        <v>966</v>
      </c>
      <c r="AH25" s="63"/>
      <c r="AI25" s="63">
        <f>AG25</f>
        <v>966</v>
      </c>
      <c r="AK25" s="77" t="s">
        <v>28</v>
      </c>
      <c r="AL25" s="79">
        <f t="shared" ref="AL25:AV28" si="23">AL10/AL6</f>
        <v>0</v>
      </c>
      <c r="AM25" s="79">
        <f t="shared" si="23"/>
        <v>0</v>
      </c>
      <c r="AN25" s="79">
        <f t="shared" si="23"/>
        <v>0</v>
      </c>
      <c r="AO25" s="79">
        <f t="shared" si="23"/>
        <v>0</v>
      </c>
      <c r="AP25" s="79">
        <f t="shared" si="23"/>
        <v>0</v>
      </c>
      <c r="AQ25" s="79">
        <f t="shared" si="23"/>
        <v>0</v>
      </c>
      <c r="AR25" s="79">
        <f t="shared" si="23"/>
        <v>0</v>
      </c>
      <c r="AS25" s="79">
        <f t="shared" si="23"/>
        <v>0</v>
      </c>
      <c r="AT25" s="79">
        <f t="shared" si="23"/>
        <v>0</v>
      </c>
      <c r="AU25" s="79">
        <f t="shared" si="23"/>
        <v>0</v>
      </c>
      <c r="AV25" s="102">
        <f t="shared" si="23"/>
        <v>0</v>
      </c>
      <c r="AX25" s="103">
        <v>1000</v>
      </c>
      <c r="AY25" s="104">
        <v>0.02</v>
      </c>
      <c r="AZ25" s="105">
        <f t="shared" si="16"/>
        <v>20</v>
      </c>
      <c r="BA25" s="105">
        <v>1</v>
      </c>
      <c r="BB25" s="106">
        <f t="shared" si="18"/>
        <v>19</v>
      </c>
      <c r="BE25" s="117"/>
      <c r="BF25" s="117"/>
      <c r="BG25" s="118"/>
      <c r="BH25" s="114"/>
    </row>
    <row r="26" spans="1:60" ht="24" thickBot="1">
      <c r="A26" s="55" t="s">
        <v>21</v>
      </c>
      <c r="B26" s="56">
        <v>23</v>
      </c>
      <c r="C26" s="56">
        <v>18</v>
      </c>
      <c r="D26" s="56">
        <v>22</v>
      </c>
      <c r="E26" s="56">
        <v>17</v>
      </c>
      <c r="F26" s="56">
        <v>15</v>
      </c>
      <c r="G26" s="56">
        <v>25</v>
      </c>
      <c r="H26" s="56">
        <v>16</v>
      </c>
      <c r="I26" s="56">
        <v>22</v>
      </c>
      <c r="J26" s="56">
        <v>23</v>
      </c>
      <c r="K26" s="56">
        <v>0</v>
      </c>
      <c r="L26" s="56">
        <v>20</v>
      </c>
      <c r="M26" s="56">
        <v>11</v>
      </c>
      <c r="N26" s="56">
        <v>18</v>
      </c>
      <c r="O26" s="56">
        <v>13</v>
      </c>
      <c r="P26" s="56">
        <v>26</v>
      </c>
      <c r="Q26" s="56">
        <v>38</v>
      </c>
      <c r="R26" s="56">
        <v>18</v>
      </c>
      <c r="S26" s="56">
        <v>20</v>
      </c>
      <c r="T26" s="56">
        <v>19</v>
      </c>
      <c r="U26" s="56">
        <v>21</v>
      </c>
      <c r="V26" s="56">
        <v>18</v>
      </c>
      <c r="W26" s="56">
        <v>34</v>
      </c>
      <c r="X26" s="56">
        <v>31</v>
      </c>
      <c r="Y26" s="56">
        <v>23</v>
      </c>
      <c r="Z26" s="56">
        <v>19</v>
      </c>
      <c r="AA26" s="56">
        <v>17</v>
      </c>
      <c r="AB26" s="56">
        <v>29</v>
      </c>
      <c r="AC26" s="56">
        <v>26</v>
      </c>
      <c r="AD26" s="56">
        <v>25</v>
      </c>
      <c r="AE26" s="56">
        <v>33</v>
      </c>
      <c r="AF26" s="56"/>
      <c r="AG26" s="63">
        <f t="shared" ref="AG26:AG33" si="24">SUM(B26:AF26)</f>
        <v>640</v>
      </c>
      <c r="AH26" s="63"/>
      <c r="AI26" s="63">
        <f>AG26+AH28+AH29+AH30</f>
        <v>640</v>
      </c>
      <c r="AK26" s="77" t="s">
        <v>29</v>
      </c>
      <c r="AL26" s="79">
        <f t="shared" si="23"/>
        <v>0</v>
      </c>
      <c r="AM26" s="79">
        <f t="shared" si="23"/>
        <v>0</v>
      </c>
      <c r="AN26" s="79">
        <f t="shared" si="23"/>
        <v>0</v>
      </c>
      <c r="AO26" s="79">
        <f t="shared" si="23"/>
        <v>0</v>
      </c>
      <c r="AP26" s="79">
        <f t="shared" si="23"/>
        <v>0</v>
      </c>
      <c r="AQ26" s="79">
        <f t="shared" si="23"/>
        <v>0</v>
      </c>
      <c r="AR26" s="79">
        <f t="shared" si="23"/>
        <v>0</v>
      </c>
      <c r="AS26" s="79">
        <f t="shared" si="23"/>
        <v>0</v>
      </c>
      <c r="AT26" s="79">
        <f t="shared" si="23"/>
        <v>0</v>
      </c>
      <c r="AU26" s="79">
        <f t="shared" si="23"/>
        <v>0</v>
      </c>
      <c r="AV26" s="102">
        <f t="shared" si="23"/>
        <v>0</v>
      </c>
      <c r="AX26" s="63"/>
      <c r="AY26" s="63"/>
      <c r="AZ26" s="63"/>
      <c r="BA26" s="63"/>
      <c r="BB26" s="63"/>
      <c r="BE26" s="117"/>
      <c r="BF26" s="117"/>
      <c r="BG26" s="118"/>
      <c r="BH26" s="119"/>
    </row>
    <row r="27" spans="1:60" ht="24" thickBot="1">
      <c r="A27" s="125" t="s">
        <v>22</v>
      </c>
      <c r="B27" s="125">
        <v>19</v>
      </c>
      <c r="C27" s="125">
        <v>17</v>
      </c>
      <c r="D27" s="125">
        <v>17</v>
      </c>
      <c r="E27" s="125">
        <v>13</v>
      </c>
      <c r="F27" s="125">
        <v>9</v>
      </c>
      <c r="G27" s="125">
        <v>17</v>
      </c>
      <c r="H27" s="125">
        <v>12</v>
      </c>
      <c r="I27" s="125">
        <v>20</v>
      </c>
      <c r="J27" s="125">
        <v>21</v>
      </c>
      <c r="K27" s="125">
        <v>0</v>
      </c>
      <c r="L27" s="125">
        <v>19</v>
      </c>
      <c r="M27" s="125">
        <v>11</v>
      </c>
      <c r="N27" s="125">
        <v>17</v>
      </c>
      <c r="O27" s="125">
        <v>13</v>
      </c>
      <c r="P27" s="125">
        <v>22</v>
      </c>
      <c r="Q27" s="125">
        <v>33</v>
      </c>
      <c r="R27" s="125">
        <v>16</v>
      </c>
      <c r="S27" s="125">
        <v>17</v>
      </c>
      <c r="T27" s="125">
        <v>16</v>
      </c>
      <c r="U27" s="125">
        <v>20</v>
      </c>
      <c r="V27" s="125">
        <v>16</v>
      </c>
      <c r="W27" s="125">
        <v>33</v>
      </c>
      <c r="X27" s="125">
        <v>29</v>
      </c>
      <c r="Y27" s="125">
        <v>19</v>
      </c>
      <c r="Z27" s="125">
        <v>18</v>
      </c>
      <c r="AA27" s="125">
        <v>12</v>
      </c>
      <c r="AB27" s="125">
        <v>27</v>
      </c>
      <c r="AC27" s="125">
        <v>25</v>
      </c>
      <c r="AD27" s="125">
        <v>22</v>
      </c>
      <c r="AE27" s="125">
        <v>32</v>
      </c>
      <c r="AF27" s="56"/>
      <c r="AG27" s="63">
        <f t="shared" si="24"/>
        <v>562</v>
      </c>
      <c r="AH27" s="63"/>
      <c r="AI27" s="63">
        <f>AG27+AH28+AH29+AH30</f>
        <v>562</v>
      </c>
      <c r="AK27" s="77" t="s">
        <v>31</v>
      </c>
      <c r="AL27" s="79">
        <f t="shared" si="23"/>
        <v>0</v>
      </c>
      <c r="AM27" s="79" t="e">
        <f t="shared" si="23"/>
        <v>#DIV/0!</v>
      </c>
      <c r="AN27" s="79">
        <f t="shared" si="23"/>
        <v>0</v>
      </c>
      <c r="AO27" s="79">
        <f t="shared" si="23"/>
        <v>0</v>
      </c>
      <c r="AP27" s="79">
        <f t="shared" si="23"/>
        <v>0</v>
      </c>
      <c r="AQ27" s="79">
        <f t="shared" si="23"/>
        <v>0</v>
      </c>
      <c r="AR27" s="79">
        <f t="shared" si="23"/>
        <v>0</v>
      </c>
      <c r="AS27" s="79">
        <f t="shared" si="23"/>
        <v>0</v>
      </c>
      <c r="AT27" s="79" t="e">
        <f t="shared" si="23"/>
        <v>#DIV/0!</v>
      </c>
      <c r="AU27" s="79" t="e">
        <f>AU12/AU8</f>
        <v>#DIV/0!</v>
      </c>
      <c r="AV27" s="102">
        <f>AV12/AV8</f>
        <v>0</v>
      </c>
      <c r="AX27" s="108" t="s">
        <v>44</v>
      </c>
      <c r="AY27" s="271" t="s">
        <v>45</v>
      </c>
      <c r="AZ27" s="272"/>
      <c r="BA27" s="63"/>
      <c r="BB27" s="63"/>
      <c r="BE27" s="117"/>
      <c r="BF27" s="117"/>
      <c r="BG27" s="118"/>
      <c r="BH27" s="114"/>
    </row>
    <row r="28" spans="1:60" ht="23.25">
      <c r="A28" s="125" t="s">
        <v>23</v>
      </c>
      <c r="B28" s="125">
        <v>3</v>
      </c>
      <c r="C28" s="125">
        <v>0</v>
      </c>
      <c r="D28" s="125">
        <v>2</v>
      </c>
      <c r="E28" s="125">
        <v>1</v>
      </c>
      <c r="F28" s="125">
        <v>0</v>
      </c>
      <c r="G28" s="125">
        <v>1</v>
      </c>
      <c r="H28" s="125">
        <v>2</v>
      </c>
      <c r="I28" s="125">
        <v>2</v>
      </c>
      <c r="J28" s="125">
        <v>1</v>
      </c>
      <c r="K28" s="125">
        <v>0</v>
      </c>
      <c r="L28" s="125">
        <v>0</v>
      </c>
      <c r="M28" s="125">
        <v>0</v>
      </c>
      <c r="N28" s="125">
        <v>0</v>
      </c>
      <c r="O28" s="125">
        <v>0</v>
      </c>
      <c r="P28" s="125">
        <v>4</v>
      </c>
      <c r="Q28" s="125">
        <v>1</v>
      </c>
      <c r="R28" s="125">
        <v>2</v>
      </c>
      <c r="S28" s="125">
        <v>3</v>
      </c>
      <c r="T28" s="125">
        <v>3</v>
      </c>
      <c r="U28" s="125">
        <v>1</v>
      </c>
      <c r="V28" s="125">
        <v>1</v>
      </c>
      <c r="W28" s="125">
        <v>0</v>
      </c>
      <c r="X28" s="125">
        <v>2</v>
      </c>
      <c r="Y28" s="125">
        <v>1</v>
      </c>
      <c r="Z28" s="125">
        <v>0</v>
      </c>
      <c r="AA28" s="125">
        <v>0</v>
      </c>
      <c r="AB28" s="125">
        <v>0</v>
      </c>
      <c r="AC28" s="125">
        <v>1</v>
      </c>
      <c r="AD28" s="125">
        <v>0</v>
      </c>
      <c r="AE28" s="125">
        <v>0</v>
      </c>
      <c r="AF28" s="56"/>
      <c r="AG28" s="63">
        <f t="shared" si="24"/>
        <v>31</v>
      </c>
      <c r="AH28" s="63"/>
      <c r="AI28" s="63">
        <f t="shared" ref="AI28:AI33" si="25">AG28-AH28</f>
        <v>31</v>
      </c>
      <c r="AK28" s="80" t="s">
        <v>34</v>
      </c>
      <c r="AL28" s="81">
        <f>AL13/AL9</f>
        <v>1.2285714285714286</v>
      </c>
      <c r="AM28" s="81">
        <f t="shared" si="23"/>
        <v>1.2666666666666666</v>
      </c>
      <c r="AN28" s="81">
        <f t="shared" si="23"/>
        <v>2.0333333333333332</v>
      </c>
      <c r="AO28" s="81">
        <f t="shared" si="23"/>
        <v>3.4285714285714284</v>
      </c>
      <c r="AP28" s="81">
        <f t="shared" si="23"/>
        <v>1.4814814814814814</v>
      </c>
      <c r="AQ28" s="81">
        <f t="shared" si="23"/>
        <v>1.4230769230769231</v>
      </c>
      <c r="AR28" s="81">
        <f t="shared" si="23"/>
        <v>1.144927536231884</v>
      </c>
      <c r="AS28" s="81">
        <f t="shared" si="23"/>
        <v>1.0636363636363637</v>
      </c>
      <c r="AT28" s="81">
        <f t="shared" si="23"/>
        <v>1.1111111111111112</v>
      </c>
      <c r="AU28" s="81">
        <f t="shared" si="23"/>
        <v>1.3333333333333333</v>
      </c>
      <c r="AV28" s="107">
        <f t="shared" si="23"/>
        <v>1.3065902578796562</v>
      </c>
      <c r="AX28" s="97" t="s">
        <v>46</v>
      </c>
      <c r="AY28" s="273">
        <v>100</v>
      </c>
      <c r="AZ28" s="274"/>
      <c r="BA28" s="109"/>
      <c r="BB28" s="109"/>
      <c r="BE28" s="112"/>
      <c r="BF28" s="112"/>
      <c r="BG28" s="113"/>
      <c r="BH28" s="112"/>
    </row>
    <row r="29" spans="1:60" ht="21.75" thickBot="1">
      <c r="A29" s="125" t="s">
        <v>24</v>
      </c>
      <c r="B29" s="125">
        <v>0</v>
      </c>
      <c r="C29" s="125">
        <v>0</v>
      </c>
      <c r="D29" s="125">
        <v>1</v>
      </c>
      <c r="E29" s="125">
        <v>1</v>
      </c>
      <c r="F29" s="125">
        <v>3</v>
      </c>
      <c r="G29" s="125">
        <v>3</v>
      </c>
      <c r="H29" s="125">
        <v>0</v>
      </c>
      <c r="I29" s="125">
        <v>0</v>
      </c>
      <c r="J29" s="125">
        <v>0</v>
      </c>
      <c r="K29" s="125">
        <v>0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1</v>
      </c>
      <c r="W29" s="125">
        <v>0</v>
      </c>
      <c r="X29" s="125">
        <v>0</v>
      </c>
      <c r="Y29" s="125">
        <v>1</v>
      </c>
      <c r="Z29" s="125">
        <v>0</v>
      </c>
      <c r="AA29" s="125">
        <v>5</v>
      </c>
      <c r="AB29" s="125">
        <v>0</v>
      </c>
      <c r="AC29" s="125">
        <v>0</v>
      </c>
      <c r="AD29" s="125">
        <v>1</v>
      </c>
      <c r="AE29" s="125">
        <v>1</v>
      </c>
      <c r="AF29" s="56"/>
      <c r="AG29" s="63">
        <f t="shared" si="24"/>
        <v>17</v>
      </c>
      <c r="AH29" s="63"/>
      <c r="AI29" s="63">
        <f t="shared" si="25"/>
        <v>17</v>
      </c>
      <c r="AR29" s="82"/>
      <c r="AS29" s="83"/>
      <c r="AT29" s="82"/>
      <c r="AU29" s="82"/>
      <c r="AX29" s="103" t="s">
        <v>47</v>
      </c>
      <c r="AY29" s="275">
        <v>50</v>
      </c>
      <c r="AZ29" s="276"/>
      <c r="BA29" s="63"/>
      <c r="BB29" s="63"/>
      <c r="BE29" s="112"/>
      <c r="BF29" s="112"/>
      <c r="BG29" s="113"/>
      <c r="BH29" s="114"/>
    </row>
    <row r="30" spans="1:60" ht="21">
      <c r="A30" s="125" t="s">
        <v>26</v>
      </c>
      <c r="B30" s="125">
        <v>1</v>
      </c>
      <c r="C30" s="125">
        <v>1</v>
      </c>
      <c r="D30" s="125">
        <v>2</v>
      </c>
      <c r="E30" s="125">
        <v>2</v>
      </c>
      <c r="F30" s="125">
        <v>3</v>
      </c>
      <c r="G30" s="125">
        <v>4</v>
      </c>
      <c r="H30" s="125">
        <v>2</v>
      </c>
      <c r="I30" s="125">
        <v>0</v>
      </c>
      <c r="J30" s="125">
        <v>1</v>
      </c>
      <c r="K30" s="125">
        <v>0</v>
      </c>
      <c r="L30" s="125">
        <v>1</v>
      </c>
      <c r="M30" s="125">
        <v>0</v>
      </c>
      <c r="N30" s="125">
        <v>1</v>
      </c>
      <c r="O30" s="125">
        <v>0</v>
      </c>
      <c r="P30" s="125">
        <v>0</v>
      </c>
      <c r="Q30" s="125">
        <v>4</v>
      </c>
      <c r="R30" s="125">
        <v>0</v>
      </c>
      <c r="S30" s="125">
        <v>0</v>
      </c>
      <c r="T30" s="125">
        <v>0</v>
      </c>
      <c r="U30" s="125">
        <v>0</v>
      </c>
      <c r="V30" s="125">
        <v>0</v>
      </c>
      <c r="W30" s="125">
        <v>1</v>
      </c>
      <c r="X30" s="125">
        <v>0</v>
      </c>
      <c r="Y30" s="125">
        <v>2</v>
      </c>
      <c r="Z30" s="125">
        <v>1</v>
      </c>
      <c r="AA30" s="125">
        <v>0</v>
      </c>
      <c r="AB30" s="125">
        <v>2</v>
      </c>
      <c r="AC30" s="125">
        <v>0</v>
      </c>
      <c r="AD30" s="125">
        <v>2</v>
      </c>
      <c r="AE30" s="125">
        <v>0</v>
      </c>
      <c r="AF30" s="56"/>
      <c r="AG30" s="63">
        <f t="shared" si="24"/>
        <v>30</v>
      </c>
      <c r="AH30" s="63"/>
      <c r="AI30" s="63">
        <f t="shared" si="25"/>
        <v>30</v>
      </c>
      <c r="AN30" s="82"/>
      <c r="BE30" s="112"/>
      <c r="BF30" s="112"/>
      <c r="BG30" s="113"/>
      <c r="BH30" s="114"/>
    </row>
    <row r="31" spans="1:60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4"/>
        <v>0</v>
      </c>
      <c r="AH31" s="70"/>
      <c r="AI31" s="63">
        <f t="shared" si="25"/>
        <v>0</v>
      </c>
      <c r="AO31" s="82"/>
      <c r="BE31" s="112"/>
      <c r="BF31" s="112"/>
      <c r="BG31" s="113"/>
      <c r="BH31" s="114"/>
    </row>
    <row r="32" spans="1:60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4"/>
        <v>0</v>
      </c>
      <c r="AH32" s="71"/>
      <c r="AI32" s="63">
        <f t="shared" si="25"/>
        <v>0</v>
      </c>
      <c r="AN32" s="82"/>
      <c r="BE32" s="112"/>
      <c r="BF32" s="112"/>
      <c r="BG32" s="113"/>
      <c r="BH32" s="112"/>
    </row>
    <row r="33" spans="1:60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4"/>
        <v>0</v>
      </c>
      <c r="AH33" s="63"/>
      <c r="AI33" s="63">
        <f t="shared" si="25"/>
        <v>0</v>
      </c>
      <c r="AM33" s="82"/>
      <c r="BE33" s="112"/>
      <c r="BF33" s="112"/>
      <c r="BG33" s="113"/>
      <c r="BH33" s="114"/>
    </row>
    <row r="34" spans="1:60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E34" s="112"/>
      <c r="BF34" s="112"/>
      <c r="BG34" s="113"/>
      <c r="BH34" s="114"/>
    </row>
    <row r="35" spans="1:60" ht="21">
      <c r="A35" s="53"/>
      <c r="B35" s="54">
        <v>45659</v>
      </c>
      <c r="C35" s="54">
        <v>45660</v>
      </c>
      <c r="D35" s="54">
        <v>45661</v>
      </c>
      <c r="E35" s="54">
        <v>45662</v>
      </c>
      <c r="F35" s="54">
        <v>45663</v>
      </c>
      <c r="G35" s="54">
        <v>45664</v>
      </c>
      <c r="H35" s="54">
        <v>45665</v>
      </c>
      <c r="I35" s="54">
        <v>45666</v>
      </c>
      <c r="J35" s="54">
        <v>45667</v>
      </c>
      <c r="K35" s="54">
        <v>45668</v>
      </c>
      <c r="L35" s="54">
        <v>45669</v>
      </c>
      <c r="M35" s="54">
        <v>45670</v>
      </c>
      <c r="N35" s="54">
        <v>45671</v>
      </c>
      <c r="O35" s="54">
        <v>45672</v>
      </c>
      <c r="P35" s="54">
        <v>45673</v>
      </c>
      <c r="Q35" s="54">
        <v>45674</v>
      </c>
      <c r="R35" s="54">
        <v>45675</v>
      </c>
      <c r="S35" s="54">
        <v>45676</v>
      </c>
      <c r="T35" s="54">
        <v>45677</v>
      </c>
      <c r="U35" s="54">
        <v>45678</v>
      </c>
      <c r="V35" s="54">
        <v>45679</v>
      </c>
      <c r="W35" s="54">
        <v>45680</v>
      </c>
      <c r="X35" s="54">
        <v>45681</v>
      </c>
      <c r="Y35" s="54">
        <v>45682</v>
      </c>
      <c r="Z35" s="54">
        <v>45683</v>
      </c>
      <c r="AA35" s="54">
        <v>45684</v>
      </c>
      <c r="AB35" s="54">
        <v>45685</v>
      </c>
      <c r="AC35" s="54">
        <v>45686</v>
      </c>
      <c r="AD35" s="54">
        <v>45687</v>
      </c>
      <c r="AE35" s="54">
        <v>45688</v>
      </c>
      <c r="AF35" s="54"/>
      <c r="AG35" s="61" t="s">
        <v>2</v>
      </c>
      <c r="AH35" s="61" t="s">
        <v>49</v>
      </c>
      <c r="AI35" s="62" t="s">
        <v>50</v>
      </c>
      <c r="AM35" s="82"/>
      <c r="BE35" s="112"/>
      <c r="BF35" s="112"/>
      <c r="BG35" s="113"/>
      <c r="BH35" s="116"/>
    </row>
    <row r="36" spans="1:60" ht="21">
      <c r="A36" s="55" t="s">
        <v>5</v>
      </c>
      <c r="B36" s="56">
        <v>14</v>
      </c>
      <c r="C36" s="56">
        <v>30</v>
      </c>
      <c r="D36" s="56">
        <v>10</v>
      </c>
      <c r="E36" s="56">
        <v>12</v>
      </c>
      <c r="F36" s="56">
        <v>17</v>
      </c>
      <c r="G36" s="56">
        <v>20</v>
      </c>
      <c r="H36" s="56">
        <v>16</v>
      </c>
      <c r="I36" s="56">
        <v>20</v>
      </c>
      <c r="J36" s="56">
        <v>23</v>
      </c>
      <c r="K36" s="56">
        <v>12</v>
      </c>
      <c r="L36" s="56">
        <v>12</v>
      </c>
      <c r="M36" s="56">
        <v>19</v>
      </c>
      <c r="N36" s="56">
        <v>19</v>
      </c>
      <c r="O36" s="56">
        <v>19</v>
      </c>
      <c r="P36" s="56">
        <v>28</v>
      </c>
      <c r="Q36" s="56">
        <v>24</v>
      </c>
      <c r="R36" s="56">
        <v>16</v>
      </c>
      <c r="S36" s="56">
        <v>16</v>
      </c>
      <c r="T36" s="56">
        <v>15</v>
      </c>
      <c r="U36" s="56">
        <v>13</v>
      </c>
      <c r="V36" s="56">
        <v>13</v>
      </c>
      <c r="W36" s="56">
        <v>20</v>
      </c>
      <c r="X36" s="56">
        <v>31</v>
      </c>
      <c r="Y36" s="56">
        <v>12</v>
      </c>
      <c r="Z36" s="56">
        <v>23</v>
      </c>
      <c r="AA36" s="56">
        <v>16</v>
      </c>
      <c r="AB36" s="56">
        <v>12</v>
      </c>
      <c r="AC36" s="56">
        <v>18</v>
      </c>
      <c r="AD36" s="56">
        <v>33</v>
      </c>
      <c r="AE36" s="56">
        <v>23</v>
      </c>
      <c r="AF36" s="56"/>
      <c r="AG36" s="63">
        <f>SUM(B36:AF36)</f>
        <v>556</v>
      </c>
      <c r="AH36" s="63"/>
      <c r="AI36" s="63">
        <f>AG36</f>
        <v>556</v>
      </c>
      <c r="AN36" s="82"/>
      <c r="BE36" s="112"/>
      <c r="BF36" s="112"/>
      <c r="BG36" s="113"/>
      <c r="BH36" s="116"/>
    </row>
    <row r="37" spans="1:60" ht="21">
      <c r="A37" s="55" t="s">
        <v>21</v>
      </c>
      <c r="B37" s="56">
        <v>9</v>
      </c>
      <c r="C37" s="56">
        <v>20</v>
      </c>
      <c r="D37" s="56">
        <v>8</v>
      </c>
      <c r="E37" s="56">
        <v>6</v>
      </c>
      <c r="F37" s="56">
        <v>12</v>
      </c>
      <c r="G37" s="56">
        <v>14</v>
      </c>
      <c r="H37" s="56">
        <v>12</v>
      </c>
      <c r="I37" s="56">
        <v>12</v>
      </c>
      <c r="J37" s="56">
        <v>13</v>
      </c>
      <c r="K37" s="56">
        <v>11</v>
      </c>
      <c r="L37" s="56">
        <v>8</v>
      </c>
      <c r="M37" s="56">
        <v>14</v>
      </c>
      <c r="N37" s="56">
        <v>8</v>
      </c>
      <c r="O37" s="56">
        <v>10</v>
      </c>
      <c r="P37" s="56">
        <v>17</v>
      </c>
      <c r="Q37" s="56">
        <v>17</v>
      </c>
      <c r="R37" s="56">
        <v>12</v>
      </c>
      <c r="S37" s="56">
        <v>16</v>
      </c>
      <c r="T37" s="56">
        <v>7</v>
      </c>
      <c r="U37" s="56">
        <v>10</v>
      </c>
      <c r="V37" s="56">
        <v>9</v>
      </c>
      <c r="W37" s="56">
        <v>17</v>
      </c>
      <c r="X37" s="56">
        <v>27</v>
      </c>
      <c r="Y37" s="56">
        <v>9</v>
      </c>
      <c r="Z37" s="56">
        <v>18</v>
      </c>
      <c r="AA37" s="56">
        <v>13</v>
      </c>
      <c r="AB37" s="56">
        <v>6</v>
      </c>
      <c r="AC37" s="56">
        <v>12</v>
      </c>
      <c r="AD37" s="56">
        <v>24</v>
      </c>
      <c r="AE37" s="56">
        <v>14</v>
      </c>
      <c r="AF37" s="56"/>
      <c r="AG37" s="63">
        <f t="shared" ref="AG37:AG44" si="26">SUM(B37:AF37)</f>
        <v>385</v>
      </c>
      <c r="AH37" s="63"/>
      <c r="AI37" s="63">
        <f>AG37+AH39+AH40+AH41</f>
        <v>385</v>
      </c>
      <c r="AM37" s="82"/>
      <c r="AO37" s="82"/>
      <c r="BE37" s="112"/>
      <c r="BF37" s="112"/>
      <c r="BG37" s="113"/>
      <c r="BH37" s="116"/>
    </row>
    <row r="38" spans="1:60" ht="21">
      <c r="A38" s="125" t="s">
        <v>22</v>
      </c>
      <c r="B38" s="125">
        <v>8</v>
      </c>
      <c r="C38" s="125">
        <v>17</v>
      </c>
      <c r="D38" s="125">
        <v>7</v>
      </c>
      <c r="E38" s="125">
        <v>6</v>
      </c>
      <c r="F38" s="125">
        <v>8</v>
      </c>
      <c r="G38" s="125">
        <v>14</v>
      </c>
      <c r="H38" s="125">
        <v>12</v>
      </c>
      <c r="I38" s="125">
        <v>12</v>
      </c>
      <c r="J38" s="125">
        <v>10</v>
      </c>
      <c r="K38" s="125">
        <v>11</v>
      </c>
      <c r="L38" s="125">
        <v>8</v>
      </c>
      <c r="M38" s="125">
        <v>13</v>
      </c>
      <c r="N38" s="125">
        <v>8</v>
      </c>
      <c r="O38" s="125">
        <v>9</v>
      </c>
      <c r="P38" s="125">
        <v>14</v>
      </c>
      <c r="Q38" s="125">
        <v>16</v>
      </c>
      <c r="R38" s="125">
        <v>12</v>
      </c>
      <c r="S38" s="125">
        <v>15</v>
      </c>
      <c r="T38" s="125">
        <v>7</v>
      </c>
      <c r="U38" s="125">
        <v>10</v>
      </c>
      <c r="V38" s="125">
        <v>9</v>
      </c>
      <c r="W38" s="125">
        <v>14</v>
      </c>
      <c r="X38" s="125">
        <v>24</v>
      </c>
      <c r="Y38" s="125">
        <v>9</v>
      </c>
      <c r="Z38" s="125">
        <v>16</v>
      </c>
      <c r="AA38" s="125">
        <v>13</v>
      </c>
      <c r="AB38" s="125">
        <v>5</v>
      </c>
      <c r="AC38" s="125">
        <v>11</v>
      </c>
      <c r="AD38" s="125">
        <v>20</v>
      </c>
      <c r="AE38" s="125">
        <v>14</v>
      </c>
      <c r="AF38" s="56"/>
      <c r="AG38" s="63">
        <f t="shared" si="26"/>
        <v>352</v>
      </c>
      <c r="AH38" s="63"/>
      <c r="AI38" s="63">
        <f>AG38+AH39+AH40+AH41</f>
        <v>352</v>
      </c>
      <c r="AM38" s="82"/>
      <c r="BE38" s="112"/>
      <c r="BF38" s="112"/>
      <c r="BG38" s="116"/>
      <c r="BH38" s="114"/>
    </row>
    <row r="39" spans="1:60" ht="21">
      <c r="A39" s="125" t="s">
        <v>23</v>
      </c>
      <c r="B39" s="125">
        <v>1</v>
      </c>
      <c r="C39" s="125">
        <v>1</v>
      </c>
      <c r="D39" s="125">
        <v>1</v>
      </c>
      <c r="E39" s="125">
        <v>0</v>
      </c>
      <c r="F39" s="125">
        <v>2</v>
      </c>
      <c r="G39" s="125">
        <v>0</v>
      </c>
      <c r="H39" s="125">
        <v>0</v>
      </c>
      <c r="I39" s="125">
        <v>0</v>
      </c>
      <c r="J39" s="125">
        <v>2</v>
      </c>
      <c r="K39" s="125">
        <v>0</v>
      </c>
      <c r="L39" s="125">
        <v>0</v>
      </c>
      <c r="M39" s="125">
        <v>1</v>
      </c>
      <c r="N39" s="125">
        <v>0</v>
      </c>
      <c r="O39" s="125">
        <v>0</v>
      </c>
      <c r="P39" s="125">
        <v>1</v>
      </c>
      <c r="Q39" s="125">
        <v>1</v>
      </c>
      <c r="R39" s="125">
        <v>0</v>
      </c>
      <c r="S39" s="125">
        <v>0</v>
      </c>
      <c r="T39" s="125">
        <v>0</v>
      </c>
      <c r="U39" s="125">
        <v>0</v>
      </c>
      <c r="V39" s="125">
        <v>0</v>
      </c>
      <c r="W39" s="125">
        <v>1</v>
      </c>
      <c r="X39" s="125">
        <v>2</v>
      </c>
      <c r="Y39" s="125">
        <v>0</v>
      </c>
      <c r="Z39" s="125">
        <v>2</v>
      </c>
      <c r="AA39" s="125">
        <v>0</v>
      </c>
      <c r="AB39" s="125">
        <v>1</v>
      </c>
      <c r="AC39" s="125">
        <v>0</v>
      </c>
      <c r="AD39" s="125">
        <v>1</v>
      </c>
      <c r="AE39" s="125">
        <v>0</v>
      </c>
      <c r="AF39" s="56"/>
      <c r="AG39" s="63">
        <f t="shared" si="26"/>
        <v>17</v>
      </c>
      <c r="AH39" s="63"/>
      <c r="AI39" s="63">
        <f t="shared" ref="AI39:AI44" si="27">AG39-AH39</f>
        <v>17</v>
      </c>
      <c r="AM39" s="82"/>
    </row>
    <row r="40" spans="1:60" ht="21">
      <c r="A40" s="125" t="s">
        <v>24</v>
      </c>
      <c r="B40" s="125">
        <v>0</v>
      </c>
      <c r="C40" s="125">
        <v>1</v>
      </c>
      <c r="D40" s="125">
        <v>0</v>
      </c>
      <c r="E40" s="125">
        <v>0</v>
      </c>
      <c r="F40" s="125">
        <v>2</v>
      </c>
      <c r="G40" s="125">
        <v>0</v>
      </c>
      <c r="H40" s="125">
        <v>0</v>
      </c>
      <c r="I40" s="125">
        <v>0</v>
      </c>
      <c r="J40" s="125">
        <v>0</v>
      </c>
      <c r="K40" s="125">
        <v>0</v>
      </c>
      <c r="L40" s="125">
        <v>0</v>
      </c>
      <c r="M40" s="125">
        <v>0</v>
      </c>
      <c r="N40" s="125">
        <v>0</v>
      </c>
      <c r="O40" s="125">
        <v>0</v>
      </c>
      <c r="P40" s="125">
        <v>1</v>
      </c>
      <c r="Q40" s="125">
        <v>0</v>
      </c>
      <c r="R40" s="125">
        <v>0</v>
      </c>
      <c r="S40" s="125">
        <v>1</v>
      </c>
      <c r="T40" s="125">
        <v>0</v>
      </c>
      <c r="U40" s="125">
        <v>0</v>
      </c>
      <c r="V40" s="125">
        <v>0</v>
      </c>
      <c r="W40" s="125">
        <v>1</v>
      </c>
      <c r="X40" s="125">
        <v>1</v>
      </c>
      <c r="Y40" s="125">
        <v>0</v>
      </c>
      <c r="Z40" s="125">
        <v>0</v>
      </c>
      <c r="AA40" s="125">
        <v>0</v>
      </c>
      <c r="AB40" s="125">
        <v>0</v>
      </c>
      <c r="AC40" s="125">
        <v>1</v>
      </c>
      <c r="AD40" s="125">
        <v>1</v>
      </c>
      <c r="AE40" s="125">
        <v>0</v>
      </c>
      <c r="AF40" s="56"/>
      <c r="AG40" s="63">
        <f t="shared" si="26"/>
        <v>9</v>
      </c>
      <c r="AH40" s="63"/>
      <c r="AI40" s="63">
        <f t="shared" si="27"/>
        <v>9</v>
      </c>
      <c r="AN40" s="82"/>
    </row>
    <row r="41" spans="1:60" ht="21">
      <c r="A41" s="125" t="s">
        <v>26</v>
      </c>
      <c r="B41" s="125">
        <v>0</v>
      </c>
      <c r="C41" s="125">
        <v>1</v>
      </c>
      <c r="D41" s="125">
        <v>0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1</v>
      </c>
      <c r="K41" s="125">
        <v>0</v>
      </c>
      <c r="L41" s="125">
        <v>0</v>
      </c>
      <c r="M41" s="125">
        <v>0</v>
      </c>
      <c r="N41" s="125">
        <v>0</v>
      </c>
      <c r="O41" s="125">
        <v>1</v>
      </c>
      <c r="P41" s="125">
        <v>1</v>
      </c>
      <c r="Q41" s="125">
        <v>0</v>
      </c>
      <c r="R41" s="125">
        <v>0</v>
      </c>
      <c r="S41" s="125">
        <v>0</v>
      </c>
      <c r="T41" s="125">
        <v>0</v>
      </c>
      <c r="U41" s="125">
        <v>0</v>
      </c>
      <c r="V41" s="125">
        <v>0</v>
      </c>
      <c r="W41" s="125">
        <v>1</v>
      </c>
      <c r="X41" s="125">
        <v>0</v>
      </c>
      <c r="Y41" s="125">
        <v>0</v>
      </c>
      <c r="Z41" s="125">
        <v>0</v>
      </c>
      <c r="AA41" s="125">
        <v>0</v>
      </c>
      <c r="AB41" s="125">
        <v>0</v>
      </c>
      <c r="AC41" s="125">
        <v>0</v>
      </c>
      <c r="AD41" s="125">
        <v>2</v>
      </c>
      <c r="AE41" s="125">
        <v>0</v>
      </c>
      <c r="AF41" s="56"/>
      <c r="AG41" s="63">
        <f t="shared" si="26"/>
        <v>7</v>
      </c>
      <c r="AH41" s="63"/>
      <c r="AI41" s="63">
        <f t="shared" si="27"/>
        <v>7</v>
      </c>
    </row>
    <row r="42" spans="1:60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6"/>
        <v>0</v>
      </c>
      <c r="AH42" s="70"/>
      <c r="AI42" s="63">
        <f t="shared" si="27"/>
        <v>0</v>
      </c>
    </row>
    <row r="43" spans="1:60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6"/>
        <v>0</v>
      </c>
      <c r="AH43" s="71"/>
      <c r="AI43" s="63">
        <f t="shared" si="27"/>
        <v>0</v>
      </c>
    </row>
    <row r="44" spans="1:60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6"/>
        <v>0</v>
      </c>
      <c r="AH44" s="63"/>
      <c r="AI44" s="63">
        <f t="shared" si="27"/>
        <v>0</v>
      </c>
    </row>
    <row r="45" spans="1:60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0" ht="21">
      <c r="A46" s="53"/>
      <c r="B46" s="54">
        <v>45659</v>
      </c>
      <c r="C46" s="54">
        <v>45660</v>
      </c>
      <c r="D46" s="54">
        <v>45661</v>
      </c>
      <c r="E46" s="54">
        <v>45662</v>
      </c>
      <c r="F46" s="54">
        <v>45663</v>
      </c>
      <c r="G46" s="54">
        <v>45664</v>
      </c>
      <c r="H46" s="54">
        <v>45665</v>
      </c>
      <c r="I46" s="54">
        <v>45666</v>
      </c>
      <c r="J46" s="54">
        <v>45667</v>
      </c>
      <c r="K46" s="54">
        <v>45668</v>
      </c>
      <c r="L46" s="54">
        <v>45669</v>
      </c>
      <c r="M46" s="54">
        <v>45670</v>
      </c>
      <c r="N46" s="54">
        <v>45671</v>
      </c>
      <c r="O46" s="54">
        <v>45672</v>
      </c>
      <c r="P46" s="54">
        <v>45673</v>
      </c>
      <c r="Q46" s="54">
        <v>45674</v>
      </c>
      <c r="R46" s="54">
        <v>45675</v>
      </c>
      <c r="S46" s="54">
        <v>45676</v>
      </c>
      <c r="T46" s="54">
        <v>45677</v>
      </c>
      <c r="U46" s="54">
        <v>45678</v>
      </c>
      <c r="V46" s="54">
        <v>45679</v>
      </c>
      <c r="W46" s="54">
        <v>45680</v>
      </c>
      <c r="X46" s="54">
        <v>45681</v>
      </c>
      <c r="Y46" s="54">
        <v>45682</v>
      </c>
      <c r="Z46" s="54">
        <v>45683</v>
      </c>
      <c r="AA46" s="54">
        <v>45684</v>
      </c>
      <c r="AB46" s="54">
        <v>45685</v>
      </c>
      <c r="AC46" s="54">
        <v>45686</v>
      </c>
      <c r="AD46" s="54">
        <v>45687</v>
      </c>
      <c r="AE46" s="54">
        <v>45688</v>
      </c>
      <c r="AF46" s="54"/>
      <c r="AG46" s="61" t="s">
        <v>2</v>
      </c>
      <c r="AH46" s="61" t="s">
        <v>3</v>
      </c>
      <c r="AI46" s="62" t="s">
        <v>52</v>
      </c>
    </row>
    <row r="47" spans="1:60" ht="21">
      <c r="A47" s="55" t="s">
        <v>5</v>
      </c>
      <c r="B47" s="56">
        <v>16</v>
      </c>
      <c r="C47" s="56">
        <v>32</v>
      </c>
      <c r="D47" s="56">
        <v>23</v>
      </c>
      <c r="E47" s="56">
        <v>39</v>
      </c>
      <c r="F47" s="56">
        <v>20</v>
      </c>
      <c r="G47" s="56">
        <v>37</v>
      </c>
      <c r="H47" s="56">
        <v>22</v>
      </c>
      <c r="I47" s="56">
        <v>29</v>
      </c>
      <c r="J47" s="56">
        <v>46</v>
      </c>
      <c r="K47" s="56">
        <v>20</v>
      </c>
      <c r="L47" s="56">
        <v>35</v>
      </c>
      <c r="M47" s="56">
        <v>23</v>
      </c>
      <c r="N47" s="56">
        <v>15</v>
      </c>
      <c r="O47" s="56">
        <v>15</v>
      </c>
      <c r="P47" s="56">
        <v>46</v>
      </c>
      <c r="Q47" s="56">
        <v>40</v>
      </c>
      <c r="R47" s="56">
        <v>27</v>
      </c>
      <c r="S47" s="56">
        <v>40</v>
      </c>
      <c r="T47" s="56">
        <v>37</v>
      </c>
      <c r="U47" s="56">
        <v>36</v>
      </c>
      <c r="V47" s="56">
        <v>43</v>
      </c>
      <c r="W47" s="56">
        <v>32</v>
      </c>
      <c r="X47" s="56">
        <v>53</v>
      </c>
      <c r="Y47" s="56">
        <v>35</v>
      </c>
      <c r="Z47" s="56">
        <v>44</v>
      </c>
      <c r="AA47" s="56">
        <v>34</v>
      </c>
      <c r="AB47" s="56">
        <v>34</v>
      </c>
      <c r="AC47" s="56">
        <v>37</v>
      </c>
      <c r="AD47" s="56">
        <v>38</v>
      </c>
      <c r="AE47" s="56">
        <v>39</v>
      </c>
      <c r="AF47" s="56"/>
      <c r="AG47" s="63">
        <f>SUM(B47:AF47)</f>
        <v>987</v>
      </c>
      <c r="AH47" s="63"/>
      <c r="AI47" s="63">
        <f>AG47</f>
        <v>987</v>
      </c>
    </row>
    <row r="48" spans="1:60" ht="21">
      <c r="A48" s="55" t="s">
        <v>21</v>
      </c>
      <c r="B48" s="56">
        <v>8</v>
      </c>
      <c r="C48" s="56">
        <v>19</v>
      </c>
      <c r="D48" s="56">
        <v>17</v>
      </c>
      <c r="E48" s="56">
        <v>18</v>
      </c>
      <c r="F48" s="56">
        <v>11</v>
      </c>
      <c r="G48" s="56">
        <v>23</v>
      </c>
      <c r="H48" s="56">
        <v>12</v>
      </c>
      <c r="I48" s="56">
        <v>17</v>
      </c>
      <c r="J48" s="56">
        <v>34</v>
      </c>
      <c r="K48" s="56">
        <v>14</v>
      </c>
      <c r="L48" s="56">
        <v>21</v>
      </c>
      <c r="M48" s="56">
        <v>21</v>
      </c>
      <c r="N48" s="56">
        <v>7</v>
      </c>
      <c r="O48" s="56">
        <v>9</v>
      </c>
      <c r="P48" s="56">
        <v>27</v>
      </c>
      <c r="Q48" s="56">
        <v>20</v>
      </c>
      <c r="R48" s="56">
        <v>16</v>
      </c>
      <c r="S48" s="56">
        <v>22</v>
      </c>
      <c r="T48" s="56">
        <v>20</v>
      </c>
      <c r="U48" s="56">
        <v>24</v>
      </c>
      <c r="V48" s="56">
        <v>25</v>
      </c>
      <c r="W48" s="56">
        <v>19</v>
      </c>
      <c r="X48" s="56">
        <v>30</v>
      </c>
      <c r="Y48" s="56">
        <v>25</v>
      </c>
      <c r="Z48" s="56">
        <v>29</v>
      </c>
      <c r="AA48" s="56">
        <v>28</v>
      </c>
      <c r="AB48" s="56">
        <v>23</v>
      </c>
      <c r="AC48" s="56">
        <v>24</v>
      </c>
      <c r="AD48" s="56">
        <v>24</v>
      </c>
      <c r="AE48" s="56">
        <v>26</v>
      </c>
      <c r="AF48" s="56"/>
      <c r="AG48" s="63">
        <f t="shared" ref="AG48:AG55" si="28">SUM(B48:AF48)</f>
        <v>613</v>
      </c>
      <c r="AH48" s="63"/>
      <c r="AI48" s="63">
        <f>AG48+AH50+AH51+AH52</f>
        <v>613</v>
      </c>
    </row>
    <row r="49" spans="1:35" ht="21">
      <c r="A49" s="125" t="s">
        <v>22</v>
      </c>
      <c r="B49" s="125">
        <v>8</v>
      </c>
      <c r="C49" s="125">
        <v>19</v>
      </c>
      <c r="D49" s="125">
        <v>16</v>
      </c>
      <c r="E49" s="125">
        <v>17</v>
      </c>
      <c r="F49" s="125">
        <v>11</v>
      </c>
      <c r="G49" s="125">
        <v>19</v>
      </c>
      <c r="H49" s="125">
        <v>12</v>
      </c>
      <c r="I49" s="125">
        <v>16</v>
      </c>
      <c r="J49" s="125">
        <v>30</v>
      </c>
      <c r="K49" s="125">
        <v>14</v>
      </c>
      <c r="L49" s="125">
        <v>19</v>
      </c>
      <c r="M49" s="125">
        <v>19</v>
      </c>
      <c r="N49" s="125">
        <v>7</v>
      </c>
      <c r="O49" s="125">
        <v>9</v>
      </c>
      <c r="P49" s="125">
        <v>24</v>
      </c>
      <c r="Q49" s="125">
        <v>17</v>
      </c>
      <c r="R49" s="125">
        <v>15</v>
      </c>
      <c r="S49" s="125">
        <v>19</v>
      </c>
      <c r="T49" s="125">
        <v>20</v>
      </c>
      <c r="U49" s="125">
        <v>18</v>
      </c>
      <c r="V49" s="125">
        <v>22</v>
      </c>
      <c r="W49" s="125">
        <v>18</v>
      </c>
      <c r="X49" s="125">
        <v>29</v>
      </c>
      <c r="Y49" s="125">
        <v>25</v>
      </c>
      <c r="Z49" s="125">
        <v>28</v>
      </c>
      <c r="AA49" s="125">
        <v>24</v>
      </c>
      <c r="AB49" s="125">
        <v>17</v>
      </c>
      <c r="AC49" s="125">
        <v>22</v>
      </c>
      <c r="AD49" s="125">
        <v>18</v>
      </c>
      <c r="AE49" s="125">
        <v>26</v>
      </c>
      <c r="AF49" s="56"/>
      <c r="AG49" s="63">
        <f t="shared" si="28"/>
        <v>558</v>
      </c>
      <c r="AH49" s="63"/>
      <c r="AI49" s="63">
        <f>AG49+AH50+AH51+AH52</f>
        <v>558</v>
      </c>
    </row>
    <row r="50" spans="1:35" ht="21">
      <c r="A50" s="125" t="s">
        <v>23</v>
      </c>
      <c r="B50" s="125">
        <v>0</v>
      </c>
      <c r="C50" s="125">
        <v>0</v>
      </c>
      <c r="D50" s="125">
        <v>0</v>
      </c>
      <c r="E50" s="125">
        <v>0</v>
      </c>
      <c r="F50" s="125">
        <v>0</v>
      </c>
      <c r="G50" s="125">
        <v>1</v>
      </c>
      <c r="H50" s="125">
        <v>0</v>
      </c>
      <c r="I50" s="125">
        <v>1</v>
      </c>
      <c r="J50" s="125">
        <v>4</v>
      </c>
      <c r="K50" s="125">
        <v>0</v>
      </c>
      <c r="L50" s="125">
        <v>0</v>
      </c>
      <c r="M50" s="125">
        <v>0</v>
      </c>
      <c r="N50" s="125">
        <v>0</v>
      </c>
      <c r="O50" s="125">
        <v>0</v>
      </c>
      <c r="P50" s="125">
        <v>0</v>
      </c>
      <c r="Q50" s="125">
        <v>0</v>
      </c>
      <c r="R50" s="125">
        <v>0</v>
      </c>
      <c r="S50" s="125">
        <v>1</v>
      </c>
      <c r="T50" s="125">
        <v>0</v>
      </c>
      <c r="U50" s="125">
        <v>0</v>
      </c>
      <c r="V50" s="125">
        <v>0</v>
      </c>
      <c r="W50" s="125">
        <v>1</v>
      </c>
      <c r="X50" s="125">
        <v>1</v>
      </c>
      <c r="Y50" s="125">
        <v>0</v>
      </c>
      <c r="Z50" s="125">
        <v>0</v>
      </c>
      <c r="AA50" s="125">
        <v>2</v>
      </c>
      <c r="AB50" s="125">
        <v>2</v>
      </c>
      <c r="AC50" s="125">
        <v>0</v>
      </c>
      <c r="AD50" s="125">
        <v>0</v>
      </c>
      <c r="AE50" s="125">
        <v>0</v>
      </c>
      <c r="AF50" s="56"/>
      <c r="AG50" s="63">
        <f t="shared" si="28"/>
        <v>13</v>
      </c>
      <c r="AH50" s="63"/>
      <c r="AI50" s="63">
        <f t="shared" ref="AI50:AI55" si="29">AG50-AH50</f>
        <v>13</v>
      </c>
    </row>
    <row r="51" spans="1:35" ht="21">
      <c r="A51" s="125" t="s">
        <v>24</v>
      </c>
      <c r="B51" s="125">
        <v>0</v>
      </c>
      <c r="C51" s="125">
        <v>0</v>
      </c>
      <c r="D51" s="125">
        <v>0</v>
      </c>
      <c r="E51" s="125">
        <v>0</v>
      </c>
      <c r="F51" s="125">
        <v>0</v>
      </c>
      <c r="G51" s="125">
        <v>2</v>
      </c>
      <c r="H51" s="125">
        <v>0</v>
      </c>
      <c r="I51" s="125">
        <v>0</v>
      </c>
      <c r="J51" s="125">
        <v>0</v>
      </c>
      <c r="K51" s="125">
        <v>0</v>
      </c>
      <c r="L51" s="125">
        <v>0</v>
      </c>
      <c r="M51" s="125">
        <v>1</v>
      </c>
      <c r="N51" s="125">
        <v>0</v>
      </c>
      <c r="O51" s="125">
        <v>0</v>
      </c>
      <c r="P51" s="125">
        <v>0</v>
      </c>
      <c r="Q51" s="125">
        <v>2</v>
      </c>
      <c r="R51" s="125">
        <v>0</v>
      </c>
      <c r="S51" s="125">
        <v>0</v>
      </c>
      <c r="T51" s="125">
        <v>0</v>
      </c>
      <c r="U51" s="125">
        <v>3</v>
      </c>
      <c r="V51" s="125">
        <v>2</v>
      </c>
      <c r="W51" s="125">
        <v>0</v>
      </c>
      <c r="X51" s="125">
        <v>0</v>
      </c>
      <c r="Y51" s="125">
        <v>0</v>
      </c>
      <c r="Z51" s="125">
        <v>0</v>
      </c>
      <c r="AA51" s="125">
        <v>1</v>
      </c>
      <c r="AB51" s="125">
        <v>1</v>
      </c>
      <c r="AC51" s="125">
        <v>0</v>
      </c>
      <c r="AD51" s="125">
        <v>3</v>
      </c>
      <c r="AE51" s="125">
        <v>0</v>
      </c>
      <c r="AF51" s="56"/>
      <c r="AG51" s="63">
        <f t="shared" si="28"/>
        <v>15</v>
      </c>
      <c r="AH51" s="63"/>
      <c r="AI51" s="63">
        <f t="shared" si="29"/>
        <v>15</v>
      </c>
    </row>
    <row r="52" spans="1:35" ht="21">
      <c r="A52" s="125" t="s">
        <v>26</v>
      </c>
      <c r="B52" s="125">
        <v>0</v>
      </c>
      <c r="C52" s="125">
        <v>0</v>
      </c>
      <c r="D52" s="125">
        <v>1</v>
      </c>
      <c r="E52" s="125">
        <v>1</v>
      </c>
      <c r="F52" s="125">
        <v>0</v>
      </c>
      <c r="G52" s="125">
        <v>1</v>
      </c>
      <c r="H52" s="125">
        <v>0</v>
      </c>
      <c r="I52" s="125">
        <v>0</v>
      </c>
      <c r="J52" s="125">
        <v>0</v>
      </c>
      <c r="K52" s="125">
        <v>0</v>
      </c>
      <c r="L52" s="125">
        <v>2</v>
      </c>
      <c r="M52" s="125">
        <v>1</v>
      </c>
      <c r="N52" s="125">
        <v>0</v>
      </c>
      <c r="O52" s="125">
        <v>0</v>
      </c>
      <c r="P52" s="125">
        <v>3</v>
      </c>
      <c r="Q52" s="125">
        <v>1</v>
      </c>
      <c r="R52" s="125">
        <v>1</v>
      </c>
      <c r="S52" s="125">
        <v>2</v>
      </c>
      <c r="T52" s="125">
        <v>0</v>
      </c>
      <c r="U52" s="125">
        <v>3</v>
      </c>
      <c r="V52" s="125">
        <v>1</v>
      </c>
      <c r="W52" s="125">
        <v>0</v>
      </c>
      <c r="X52" s="125">
        <v>0</v>
      </c>
      <c r="Y52" s="125">
        <v>0</v>
      </c>
      <c r="Z52" s="125">
        <v>1</v>
      </c>
      <c r="AA52" s="125">
        <v>1</v>
      </c>
      <c r="AB52" s="125">
        <v>3</v>
      </c>
      <c r="AC52" s="125">
        <v>2</v>
      </c>
      <c r="AD52" s="125">
        <v>3</v>
      </c>
      <c r="AE52" s="125">
        <v>0</v>
      </c>
      <c r="AF52" s="56"/>
      <c r="AG52" s="63">
        <f t="shared" si="28"/>
        <v>27</v>
      </c>
      <c r="AH52" s="63"/>
      <c r="AI52" s="63">
        <f t="shared" si="29"/>
        <v>27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8"/>
        <v>0</v>
      </c>
      <c r="AH53" s="70"/>
      <c r="AI53" s="63">
        <f t="shared" si="29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8"/>
        <v>0</v>
      </c>
      <c r="AH54" s="71"/>
      <c r="AI54" s="63">
        <f t="shared" si="29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8"/>
        <v>0</v>
      </c>
      <c r="AH55" s="63"/>
      <c r="AI55" s="63">
        <f t="shared" si="29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45659</v>
      </c>
      <c r="C57" s="54">
        <v>45660</v>
      </c>
      <c r="D57" s="54">
        <v>45661</v>
      </c>
      <c r="E57" s="54">
        <v>45662</v>
      </c>
      <c r="F57" s="54">
        <v>45663</v>
      </c>
      <c r="G57" s="54">
        <v>45664</v>
      </c>
      <c r="H57" s="54">
        <v>45665</v>
      </c>
      <c r="I57" s="54">
        <v>45666</v>
      </c>
      <c r="J57" s="54">
        <v>45667</v>
      </c>
      <c r="K57" s="54">
        <v>45668</v>
      </c>
      <c r="L57" s="54">
        <v>45669</v>
      </c>
      <c r="M57" s="54">
        <v>45670</v>
      </c>
      <c r="N57" s="54">
        <v>45671</v>
      </c>
      <c r="O57" s="54">
        <v>45672</v>
      </c>
      <c r="P57" s="54">
        <v>45673</v>
      </c>
      <c r="Q57" s="54">
        <v>45674</v>
      </c>
      <c r="R57" s="54">
        <v>45675</v>
      </c>
      <c r="S57" s="54">
        <v>45676</v>
      </c>
      <c r="T57" s="54">
        <v>45677</v>
      </c>
      <c r="U57" s="54">
        <v>45678</v>
      </c>
      <c r="V57" s="54">
        <v>45679</v>
      </c>
      <c r="W57" s="54">
        <v>45680</v>
      </c>
      <c r="X57" s="54">
        <v>45681</v>
      </c>
      <c r="Y57" s="54">
        <v>45682</v>
      </c>
      <c r="Z57" s="54">
        <v>45683</v>
      </c>
      <c r="AA57" s="54">
        <v>45684</v>
      </c>
      <c r="AB57" s="54">
        <v>45685</v>
      </c>
      <c r="AC57" s="54">
        <v>45686</v>
      </c>
      <c r="AD57" s="54">
        <v>45687</v>
      </c>
      <c r="AE57" s="54">
        <v>45688</v>
      </c>
      <c r="AF57" s="54"/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18</v>
      </c>
      <c r="C58" s="56">
        <v>34</v>
      </c>
      <c r="D58" s="56">
        <v>33</v>
      </c>
      <c r="E58" s="56">
        <v>39</v>
      </c>
      <c r="F58" s="56">
        <v>36</v>
      </c>
      <c r="G58" s="56">
        <v>23</v>
      </c>
      <c r="H58" s="56">
        <v>34</v>
      </c>
      <c r="I58" s="56">
        <v>34</v>
      </c>
      <c r="J58" s="56">
        <v>54</v>
      </c>
      <c r="K58" s="56">
        <v>33</v>
      </c>
      <c r="L58" s="56">
        <v>24</v>
      </c>
      <c r="M58" s="56">
        <v>24</v>
      </c>
      <c r="N58" s="56">
        <v>19</v>
      </c>
      <c r="O58" s="56">
        <v>34</v>
      </c>
      <c r="P58" s="56">
        <v>25</v>
      </c>
      <c r="Q58" s="56">
        <v>60</v>
      </c>
      <c r="R58" s="56">
        <v>34</v>
      </c>
      <c r="S58" s="56">
        <v>22</v>
      </c>
      <c r="T58" s="56">
        <v>24</v>
      </c>
      <c r="U58" s="56">
        <v>23</v>
      </c>
      <c r="V58" s="56">
        <v>28</v>
      </c>
      <c r="W58" s="56">
        <v>23</v>
      </c>
      <c r="X58" s="56">
        <v>53</v>
      </c>
      <c r="Y58" s="56">
        <v>42</v>
      </c>
      <c r="Z58" s="56">
        <v>18</v>
      </c>
      <c r="AA58" s="56">
        <v>12</v>
      </c>
      <c r="AB58" s="56">
        <v>16</v>
      </c>
      <c r="AC58" s="56">
        <v>24</v>
      </c>
      <c r="AD58" s="56">
        <v>26</v>
      </c>
      <c r="AE58" s="56">
        <v>68</v>
      </c>
      <c r="AF58" s="56"/>
      <c r="AG58" s="63">
        <f>SUM(B58:AF58)</f>
        <v>937</v>
      </c>
      <c r="AH58" s="63"/>
      <c r="AI58" s="63">
        <f>AG58</f>
        <v>937</v>
      </c>
    </row>
    <row r="59" spans="1:35" ht="21">
      <c r="A59" s="55" t="s">
        <v>21</v>
      </c>
      <c r="B59" s="56">
        <v>13</v>
      </c>
      <c r="C59" s="56">
        <v>24</v>
      </c>
      <c r="D59" s="56">
        <v>20</v>
      </c>
      <c r="E59" s="56">
        <v>22</v>
      </c>
      <c r="F59" s="56">
        <v>20</v>
      </c>
      <c r="G59" s="56">
        <v>16</v>
      </c>
      <c r="H59" s="56">
        <v>21</v>
      </c>
      <c r="I59" s="56">
        <v>19</v>
      </c>
      <c r="J59" s="56">
        <v>35</v>
      </c>
      <c r="K59" s="56">
        <v>22</v>
      </c>
      <c r="L59" s="56">
        <v>13</v>
      </c>
      <c r="M59" s="56">
        <v>13</v>
      </c>
      <c r="N59" s="56">
        <v>6</v>
      </c>
      <c r="O59" s="56">
        <v>17</v>
      </c>
      <c r="P59" s="56">
        <v>11</v>
      </c>
      <c r="Q59" s="56">
        <v>30</v>
      </c>
      <c r="R59" s="56">
        <v>13</v>
      </c>
      <c r="S59" s="56">
        <v>12</v>
      </c>
      <c r="T59" s="56">
        <v>11</v>
      </c>
      <c r="U59" s="56">
        <v>14</v>
      </c>
      <c r="V59" s="56">
        <v>15</v>
      </c>
      <c r="W59" s="56">
        <v>9</v>
      </c>
      <c r="X59" s="56">
        <v>29</v>
      </c>
      <c r="Y59" s="56">
        <v>27</v>
      </c>
      <c r="Z59" s="56">
        <v>12</v>
      </c>
      <c r="AA59" s="56">
        <v>7</v>
      </c>
      <c r="AB59" s="56">
        <v>8</v>
      </c>
      <c r="AC59" s="56">
        <v>13</v>
      </c>
      <c r="AD59" s="56">
        <v>13</v>
      </c>
      <c r="AE59" s="56">
        <v>41</v>
      </c>
      <c r="AF59" s="56"/>
      <c r="AG59" s="63">
        <f t="shared" ref="AG59:AG66" si="30">SUM(B59:AF59)</f>
        <v>526</v>
      </c>
      <c r="AH59" s="63"/>
      <c r="AI59" s="63">
        <f>AG59+AH61+AH62+AH63</f>
        <v>526</v>
      </c>
    </row>
    <row r="60" spans="1:35" ht="21">
      <c r="A60" s="125" t="s">
        <v>22</v>
      </c>
      <c r="B60" s="125">
        <v>12</v>
      </c>
      <c r="C60" s="125">
        <v>24</v>
      </c>
      <c r="D60" s="125">
        <v>20</v>
      </c>
      <c r="E60" s="125">
        <v>22</v>
      </c>
      <c r="F60" s="125">
        <v>20</v>
      </c>
      <c r="G60" s="125">
        <v>14</v>
      </c>
      <c r="H60" s="125">
        <v>20</v>
      </c>
      <c r="I60" s="125">
        <v>15</v>
      </c>
      <c r="J60" s="125">
        <v>33</v>
      </c>
      <c r="K60" s="125">
        <v>19</v>
      </c>
      <c r="L60" s="125">
        <v>11</v>
      </c>
      <c r="M60" s="125">
        <v>12</v>
      </c>
      <c r="N60" s="125">
        <v>6</v>
      </c>
      <c r="O60" s="125">
        <v>17</v>
      </c>
      <c r="P60" s="125">
        <v>10</v>
      </c>
      <c r="Q60" s="125">
        <v>28</v>
      </c>
      <c r="R60" s="125">
        <v>13</v>
      </c>
      <c r="S60" s="125">
        <v>12</v>
      </c>
      <c r="T60" s="125">
        <v>9</v>
      </c>
      <c r="U60" s="125">
        <v>13</v>
      </c>
      <c r="V60" s="125">
        <v>14</v>
      </c>
      <c r="W60" s="125">
        <v>9</v>
      </c>
      <c r="X60" s="125">
        <v>24</v>
      </c>
      <c r="Y60" s="125">
        <v>26</v>
      </c>
      <c r="Z60" s="125">
        <v>11</v>
      </c>
      <c r="AA60" s="125">
        <v>6</v>
      </c>
      <c r="AB60" s="125">
        <v>8</v>
      </c>
      <c r="AC60" s="125">
        <v>12</v>
      </c>
      <c r="AD60" s="125">
        <v>12</v>
      </c>
      <c r="AE60" s="125">
        <v>36</v>
      </c>
      <c r="AF60" s="56"/>
      <c r="AG60" s="63">
        <f t="shared" si="30"/>
        <v>488</v>
      </c>
      <c r="AH60" s="63"/>
      <c r="AI60" s="63">
        <f>AG60+AH61+AH62+AH63</f>
        <v>488</v>
      </c>
    </row>
    <row r="61" spans="1:35" ht="21">
      <c r="A61" s="125" t="s">
        <v>23</v>
      </c>
      <c r="B61" s="125">
        <v>0</v>
      </c>
      <c r="C61" s="125">
        <v>0</v>
      </c>
      <c r="D61" s="125">
        <v>0</v>
      </c>
      <c r="E61" s="125">
        <v>0</v>
      </c>
      <c r="F61" s="125">
        <v>0</v>
      </c>
      <c r="G61" s="125">
        <v>0</v>
      </c>
      <c r="H61" s="125">
        <v>1</v>
      </c>
      <c r="I61" s="125">
        <v>3</v>
      </c>
      <c r="J61" s="125">
        <v>1</v>
      </c>
      <c r="K61" s="125">
        <v>1</v>
      </c>
      <c r="L61" s="125">
        <v>1</v>
      </c>
      <c r="M61" s="125">
        <v>0</v>
      </c>
      <c r="N61" s="125">
        <v>0</v>
      </c>
      <c r="O61" s="125">
        <v>0</v>
      </c>
      <c r="P61" s="125">
        <v>1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25">
        <v>0</v>
      </c>
      <c r="X61" s="125">
        <v>0</v>
      </c>
      <c r="Y61" s="125">
        <v>0</v>
      </c>
      <c r="Z61" s="125">
        <v>1</v>
      </c>
      <c r="AA61" s="125">
        <v>1</v>
      </c>
      <c r="AB61" s="125">
        <v>0</v>
      </c>
      <c r="AC61" s="125">
        <v>1</v>
      </c>
      <c r="AD61" s="125">
        <v>0</v>
      </c>
      <c r="AE61" s="125">
        <v>0</v>
      </c>
      <c r="AF61" s="56"/>
      <c r="AG61" s="63">
        <f t="shared" si="30"/>
        <v>11</v>
      </c>
      <c r="AH61" s="63"/>
      <c r="AI61" s="63">
        <f t="shared" ref="AI61:AI66" si="31">AG61-AH61</f>
        <v>11</v>
      </c>
    </row>
    <row r="62" spans="1:35" ht="21">
      <c r="A62" s="125" t="s">
        <v>24</v>
      </c>
      <c r="B62" s="125">
        <v>0</v>
      </c>
      <c r="C62" s="125">
        <v>0</v>
      </c>
      <c r="D62" s="125">
        <v>0</v>
      </c>
      <c r="E62" s="125">
        <v>0</v>
      </c>
      <c r="F62" s="125">
        <v>0</v>
      </c>
      <c r="G62" s="125">
        <v>1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25">
        <v>0</v>
      </c>
      <c r="X62" s="125">
        <v>0</v>
      </c>
      <c r="Y62" s="125">
        <v>0</v>
      </c>
      <c r="Z62" s="125">
        <v>0</v>
      </c>
      <c r="AA62" s="125">
        <v>0</v>
      </c>
      <c r="AB62" s="125">
        <v>0</v>
      </c>
      <c r="AC62" s="125">
        <v>0</v>
      </c>
      <c r="AD62" s="125">
        <v>0</v>
      </c>
      <c r="AE62" s="125">
        <v>0</v>
      </c>
      <c r="AF62" s="56"/>
      <c r="AG62" s="63">
        <f t="shared" si="30"/>
        <v>1</v>
      </c>
      <c r="AH62" s="63"/>
      <c r="AI62" s="63">
        <f t="shared" si="31"/>
        <v>1</v>
      </c>
    </row>
    <row r="63" spans="1:35" ht="21">
      <c r="A63" s="125" t="s">
        <v>26</v>
      </c>
      <c r="B63" s="125">
        <v>1</v>
      </c>
      <c r="C63" s="125">
        <v>0</v>
      </c>
      <c r="D63" s="125">
        <v>0</v>
      </c>
      <c r="E63" s="125">
        <v>0</v>
      </c>
      <c r="F63" s="125">
        <v>0</v>
      </c>
      <c r="G63" s="125">
        <v>1</v>
      </c>
      <c r="H63" s="125">
        <v>0</v>
      </c>
      <c r="I63" s="125">
        <v>1</v>
      </c>
      <c r="J63" s="125">
        <v>1</v>
      </c>
      <c r="K63" s="125">
        <v>2</v>
      </c>
      <c r="L63" s="125">
        <v>1</v>
      </c>
      <c r="M63" s="125">
        <v>1</v>
      </c>
      <c r="N63" s="125">
        <v>0</v>
      </c>
      <c r="O63" s="125">
        <v>0</v>
      </c>
      <c r="P63" s="125">
        <v>0</v>
      </c>
      <c r="Q63" s="125">
        <v>2</v>
      </c>
      <c r="R63" s="125">
        <v>0</v>
      </c>
      <c r="S63" s="125">
        <v>0</v>
      </c>
      <c r="T63" s="125">
        <v>2</v>
      </c>
      <c r="U63" s="125">
        <v>1</v>
      </c>
      <c r="V63" s="125">
        <v>1</v>
      </c>
      <c r="W63" s="125">
        <v>0</v>
      </c>
      <c r="X63" s="125">
        <v>5</v>
      </c>
      <c r="Y63" s="125">
        <v>1</v>
      </c>
      <c r="Z63" s="125">
        <v>0</v>
      </c>
      <c r="AA63" s="125">
        <v>0</v>
      </c>
      <c r="AB63" s="125">
        <v>0</v>
      </c>
      <c r="AC63" s="125">
        <v>0</v>
      </c>
      <c r="AD63" s="125">
        <v>1</v>
      </c>
      <c r="AE63" s="125">
        <v>5</v>
      </c>
      <c r="AF63" s="56"/>
      <c r="AG63" s="63">
        <f t="shared" si="30"/>
        <v>26</v>
      </c>
      <c r="AH63" s="63"/>
      <c r="AI63" s="63">
        <f t="shared" si="31"/>
        <v>26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0"/>
        <v>0</v>
      </c>
      <c r="AH64" s="70"/>
      <c r="AI64" s="63">
        <f t="shared" si="31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0"/>
        <v>0</v>
      </c>
      <c r="AH65" s="71"/>
      <c r="AI65" s="63">
        <f t="shared" si="31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0"/>
        <v>0</v>
      </c>
      <c r="AH66" s="63"/>
      <c r="AI66" s="63">
        <f t="shared" si="31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45659</v>
      </c>
      <c r="C68" s="54">
        <v>45660</v>
      </c>
      <c r="D68" s="54">
        <v>45661</v>
      </c>
      <c r="E68" s="54">
        <v>45662</v>
      </c>
      <c r="F68" s="54">
        <v>45663</v>
      </c>
      <c r="G68" s="54">
        <v>45664</v>
      </c>
      <c r="H68" s="54">
        <v>45665</v>
      </c>
      <c r="I68" s="54">
        <v>45666</v>
      </c>
      <c r="J68" s="54">
        <v>45667</v>
      </c>
      <c r="K68" s="54">
        <v>45668</v>
      </c>
      <c r="L68" s="54">
        <v>45669</v>
      </c>
      <c r="M68" s="54">
        <v>45670</v>
      </c>
      <c r="N68" s="54">
        <v>45671</v>
      </c>
      <c r="O68" s="54">
        <v>45672</v>
      </c>
      <c r="P68" s="54">
        <v>45673</v>
      </c>
      <c r="Q68" s="54">
        <v>45674</v>
      </c>
      <c r="R68" s="54">
        <v>45675</v>
      </c>
      <c r="S68" s="54">
        <v>45676</v>
      </c>
      <c r="T68" s="54">
        <v>45677</v>
      </c>
      <c r="U68" s="54">
        <v>45678</v>
      </c>
      <c r="V68" s="54">
        <v>45679</v>
      </c>
      <c r="W68" s="54">
        <v>45680</v>
      </c>
      <c r="X68" s="54">
        <v>45681</v>
      </c>
      <c r="Y68" s="54">
        <v>45682</v>
      </c>
      <c r="Z68" s="54">
        <v>45683</v>
      </c>
      <c r="AA68" s="54">
        <v>45684</v>
      </c>
      <c r="AB68" s="54">
        <v>45685</v>
      </c>
      <c r="AC68" s="54">
        <v>45686</v>
      </c>
      <c r="AD68" s="54">
        <v>45687</v>
      </c>
      <c r="AE68" s="54">
        <v>45688</v>
      </c>
      <c r="AF68" s="54"/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>
        <v>38</v>
      </c>
      <c r="C69" s="56">
        <v>55</v>
      </c>
      <c r="D69" s="56">
        <v>43</v>
      </c>
      <c r="E69" s="56">
        <v>46</v>
      </c>
      <c r="F69" s="56">
        <v>39</v>
      </c>
      <c r="G69" s="56">
        <v>31</v>
      </c>
      <c r="H69" s="56">
        <v>39</v>
      </c>
      <c r="I69" s="56">
        <v>47</v>
      </c>
      <c r="J69" s="56">
        <v>89</v>
      </c>
      <c r="K69" s="56">
        <v>31</v>
      </c>
      <c r="L69" s="56">
        <v>34</v>
      </c>
      <c r="M69" s="56">
        <v>21</v>
      </c>
      <c r="N69" s="56">
        <v>30</v>
      </c>
      <c r="O69" s="56">
        <v>35</v>
      </c>
      <c r="P69" s="56">
        <v>33</v>
      </c>
      <c r="Q69" s="56">
        <v>68</v>
      </c>
      <c r="R69" s="56">
        <v>59</v>
      </c>
      <c r="S69" s="56">
        <v>41</v>
      </c>
      <c r="T69" s="56">
        <v>26</v>
      </c>
      <c r="U69" s="56">
        <v>36</v>
      </c>
      <c r="V69" s="56">
        <v>23</v>
      </c>
      <c r="W69" s="56">
        <v>31</v>
      </c>
      <c r="X69" s="56">
        <v>55</v>
      </c>
      <c r="Y69" s="56">
        <v>42</v>
      </c>
      <c r="Z69" s="56">
        <v>18</v>
      </c>
      <c r="AA69" s="56">
        <v>33</v>
      </c>
      <c r="AB69" s="56">
        <v>44</v>
      </c>
      <c r="AC69" s="56">
        <v>31</v>
      </c>
      <c r="AD69" s="56">
        <v>37</v>
      </c>
      <c r="AE69" s="56">
        <v>122</v>
      </c>
      <c r="AF69" s="56"/>
      <c r="AG69" s="63">
        <f>SUM(B69:AF69)</f>
        <v>1277</v>
      </c>
      <c r="AH69" s="63"/>
      <c r="AI69" s="63">
        <f>AG69</f>
        <v>1277</v>
      </c>
    </row>
    <row r="70" spans="1:35" ht="21">
      <c r="A70" s="55" t="s">
        <v>21</v>
      </c>
      <c r="B70" s="56">
        <v>22</v>
      </c>
      <c r="C70" s="56">
        <v>37</v>
      </c>
      <c r="D70" s="56">
        <v>31</v>
      </c>
      <c r="E70" s="56">
        <v>27</v>
      </c>
      <c r="F70" s="56">
        <v>23</v>
      </c>
      <c r="G70" s="56">
        <v>20</v>
      </c>
      <c r="H70" s="56">
        <v>27</v>
      </c>
      <c r="I70" s="56">
        <v>34</v>
      </c>
      <c r="J70" s="56">
        <v>54</v>
      </c>
      <c r="K70" s="56">
        <v>20</v>
      </c>
      <c r="L70" s="56">
        <v>20</v>
      </c>
      <c r="M70" s="56">
        <v>14</v>
      </c>
      <c r="N70" s="56">
        <v>20</v>
      </c>
      <c r="O70" s="56">
        <v>17</v>
      </c>
      <c r="P70" s="56">
        <v>18</v>
      </c>
      <c r="Q70" s="56">
        <v>30</v>
      </c>
      <c r="R70" s="56">
        <v>32</v>
      </c>
      <c r="S70" s="56">
        <v>22</v>
      </c>
      <c r="T70" s="56">
        <v>13</v>
      </c>
      <c r="U70" s="56">
        <v>25</v>
      </c>
      <c r="V70" s="56">
        <v>9</v>
      </c>
      <c r="W70" s="56">
        <v>17</v>
      </c>
      <c r="X70" s="56">
        <v>43</v>
      </c>
      <c r="Y70" s="56">
        <v>19</v>
      </c>
      <c r="Z70" s="56">
        <v>9</v>
      </c>
      <c r="AA70" s="56">
        <v>15</v>
      </c>
      <c r="AB70" s="56">
        <v>12</v>
      </c>
      <c r="AC70" s="56">
        <v>19</v>
      </c>
      <c r="AD70" s="56">
        <v>23</v>
      </c>
      <c r="AE70" s="56">
        <v>67</v>
      </c>
      <c r="AF70" s="56"/>
      <c r="AG70" s="63">
        <f t="shared" ref="AG70:AG77" si="32">SUM(B70:AF70)</f>
        <v>739</v>
      </c>
      <c r="AH70" s="63"/>
      <c r="AI70" s="63">
        <f>AG70+AH72+AH73+AH74</f>
        <v>739</v>
      </c>
    </row>
    <row r="71" spans="1:35" ht="21">
      <c r="A71" s="125" t="s">
        <v>22</v>
      </c>
      <c r="B71" s="125">
        <v>18</v>
      </c>
      <c r="C71" s="125">
        <v>33</v>
      </c>
      <c r="D71" s="125">
        <v>27</v>
      </c>
      <c r="E71" s="125">
        <v>23</v>
      </c>
      <c r="F71" s="125">
        <v>23</v>
      </c>
      <c r="G71" s="125">
        <v>17</v>
      </c>
      <c r="H71" s="125">
        <v>25</v>
      </c>
      <c r="I71" s="125">
        <v>29</v>
      </c>
      <c r="J71" s="125">
        <v>49</v>
      </c>
      <c r="K71" s="125">
        <v>18</v>
      </c>
      <c r="L71" s="125">
        <v>19</v>
      </c>
      <c r="M71" s="125">
        <v>14</v>
      </c>
      <c r="N71" s="125">
        <v>18</v>
      </c>
      <c r="O71" s="125">
        <v>14</v>
      </c>
      <c r="P71" s="125">
        <v>13</v>
      </c>
      <c r="Q71" s="125">
        <v>26</v>
      </c>
      <c r="R71" s="125">
        <v>27</v>
      </c>
      <c r="S71" s="125">
        <v>21</v>
      </c>
      <c r="T71" s="125">
        <v>11</v>
      </c>
      <c r="U71" s="125">
        <v>23</v>
      </c>
      <c r="V71" s="125">
        <v>7</v>
      </c>
      <c r="W71" s="125">
        <v>15</v>
      </c>
      <c r="X71" s="125">
        <v>43</v>
      </c>
      <c r="Y71" s="125">
        <v>17</v>
      </c>
      <c r="Z71" s="125">
        <v>9</v>
      </c>
      <c r="AA71" s="125">
        <v>14</v>
      </c>
      <c r="AB71" s="125">
        <v>12</v>
      </c>
      <c r="AC71" s="125">
        <v>17</v>
      </c>
      <c r="AD71" s="125">
        <v>17</v>
      </c>
      <c r="AE71" s="125">
        <v>57</v>
      </c>
      <c r="AF71" s="56"/>
      <c r="AG71" s="63">
        <f t="shared" si="32"/>
        <v>656</v>
      </c>
      <c r="AH71" s="63"/>
      <c r="AI71" s="63">
        <f>AG71+AH72+AH73+AH74</f>
        <v>656</v>
      </c>
    </row>
    <row r="72" spans="1:35" ht="21">
      <c r="A72" s="125" t="s">
        <v>23</v>
      </c>
      <c r="B72" s="125">
        <v>0</v>
      </c>
      <c r="C72" s="125">
        <v>0</v>
      </c>
      <c r="D72" s="125">
        <v>0</v>
      </c>
      <c r="E72" s="125">
        <v>0</v>
      </c>
      <c r="F72" s="125">
        <v>0</v>
      </c>
      <c r="G72" s="125">
        <v>1</v>
      </c>
      <c r="H72" s="125">
        <v>2</v>
      </c>
      <c r="I72" s="125">
        <v>0</v>
      </c>
      <c r="J72" s="125">
        <v>1</v>
      </c>
      <c r="K72" s="125">
        <v>1</v>
      </c>
      <c r="L72" s="125">
        <v>0</v>
      </c>
      <c r="M72" s="125">
        <v>0</v>
      </c>
      <c r="N72" s="125">
        <v>0</v>
      </c>
      <c r="O72" s="125">
        <v>0</v>
      </c>
      <c r="P72" s="125">
        <v>1</v>
      </c>
      <c r="Q72" s="125">
        <v>0</v>
      </c>
      <c r="R72" s="125">
        <v>0</v>
      </c>
      <c r="S72" s="125">
        <v>1</v>
      </c>
      <c r="T72" s="125">
        <v>0</v>
      </c>
      <c r="U72" s="125">
        <v>0</v>
      </c>
      <c r="V72" s="125">
        <v>1</v>
      </c>
      <c r="W72" s="125">
        <v>1</v>
      </c>
      <c r="X72" s="125">
        <v>0</v>
      </c>
      <c r="Y72" s="125">
        <v>0</v>
      </c>
      <c r="Z72" s="125">
        <v>0</v>
      </c>
      <c r="AA72" s="125">
        <v>0</v>
      </c>
      <c r="AB72" s="125">
        <v>0</v>
      </c>
      <c r="AC72" s="125">
        <v>0</v>
      </c>
      <c r="AD72" s="125">
        <v>1</v>
      </c>
      <c r="AE72" s="125">
        <v>0</v>
      </c>
      <c r="AF72" s="56"/>
      <c r="AG72" s="63">
        <f t="shared" si="32"/>
        <v>10</v>
      </c>
      <c r="AH72" s="63"/>
      <c r="AI72" s="63">
        <f t="shared" ref="AI72:AI77" si="33">AG72-AH72</f>
        <v>10</v>
      </c>
    </row>
    <row r="73" spans="1:35" ht="21">
      <c r="A73" s="125" t="s">
        <v>24</v>
      </c>
      <c r="B73" s="125">
        <v>0</v>
      </c>
      <c r="C73" s="125">
        <v>0</v>
      </c>
      <c r="D73" s="125">
        <v>0</v>
      </c>
      <c r="E73" s="125">
        <v>1</v>
      </c>
      <c r="F73" s="125">
        <v>0</v>
      </c>
      <c r="G73" s="125">
        <v>0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2</v>
      </c>
      <c r="Q73" s="125">
        <v>0</v>
      </c>
      <c r="R73" s="125">
        <v>0</v>
      </c>
      <c r="S73" s="125">
        <v>0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  <c r="AA73" s="125">
        <v>0</v>
      </c>
      <c r="AB73" s="125">
        <v>0</v>
      </c>
      <c r="AC73" s="125">
        <v>1</v>
      </c>
      <c r="AD73" s="125">
        <v>0</v>
      </c>
      <c r="AE73" s="125">
        <v>0</v>
      </c>
      <c r="AF73" s="56"/>
      <c r="AG73" s="63">
        <f t="shared" si="32"/>
        <v>4</v>
      </c>
      <c r="AH73" s="63"/>
      <c r="AI73" s="63">
        <f t="shared" si="33"/>
        <v>4</v>
      </c>
    </row>
    <row r="74" spans="1:35" ht="21">
      <c r="A74" s="125" t="s">
        <v>26</v>
      </c>
      <c r="B74" s="125">
        <v>4</v>
      </c>
      <c r="C74" s="125">
        <v>4</v>
      </c>
      <c r="D74" s="125">
        <v>4</v>
      </c>
      <c r="E74" s="125">
        <v>3</v>
      </c>
      <c r="F74" s="125">
        <v>0</v>
      </c>
      <c r="G74" s="125">
        <v>2</v>
      </c>
      <c r="H74" s="125">
        <v>0</v>
      </c>
      <c r="I74" s="125">
        <v>5</v>
      </c>
      <c r="J74" s="125">
        <v>4</v>
      </c>
      <c r="K74" s="125">
        <v>1</v>
      </c>
      <c r="L74" s="125">
        <v>1</v>
      </c>
      <c r="M74" s="125">
        <v>0</v>
      </c>
      <c r="N74" s="125">
        <v>2</v>
      </c>
      <c r="O74" s="125">
        <v>3</v>
      </c>
      <c r="P74" s="125">
        <v>2</v>
      </c>
      <c r="Q74" s="125">
        <v>4</v>
      </c>
      <c r="R74" s="125">
        <v>5</v>
      </c>
      <c r="S74" s="125">
        <v>0</v>
      </c>
      <c r="T74" s="125">
        <v>2</v>
      </c>
      <c r="U74" s="125">
        <v>2</v>
      </c>
      <c r="V74" s="125">
        <v>1</v>
      </c>
      <c r="W74" s="125">
        <v>1</v>
      </c>
      <c r="X74" s="125">
        <v>0</v>
      </c>
      <c r="Y74" s="125">
        <v>2</v>
      </c>
      <c r="Z74" s="125">
        <v>0</v>
      </c>
      <c r="AA74" s="125">
        <v>1</v>
      </c>
      <c r="AB74" s="125">
        <v>0</v>
      </c>
      <c r="AC74" s="125">
        <v>1</v>
      </c>
      <c r="AD74" s="125">
        <v>5</v>
      </c>
      <c r="AE74" s="125">
        <v>10</v>
      </c>
      <c r="AF74" s="56"/>
      <c r="AG74" s="63">
        <f t="shared" si="32"/>
        <v>69</v>
      </c>
      <c r="AH74" s="63"/>
      <c r="AI74" s="63">
        <f t="shared" si="33"/>
        <v>69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2"/>
        <v>0</v>
      </c>
      <c r="AH75" s="70"/>
      <c r="AI75" s="63">
        <f t="shared" si="33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2"/>
        <v>0</v>
      </c>
      <c r="AH76" s="71"/>
      <c r="AI76" s="63">
        <f t="shared" si="33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2"/>
        <v>0</v>
      </c>
      <c r="AH77" s="63"/>
      <c r="AI77" s="63">
        <f t="shared" si="33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45659</v>
      </c>
      <c r="C79" s="54">
        <v>45660</v>
      </c>
      <c r="D79" s="54">
        <v>45661</v>
      </c>
      <c r="E79" s="54">
        <v>45662</v>
      </c>
      <c r="F79" s="54">
        <v>45663</v>
      </c>
      <c r="G79" s="54">
        <v>45664</v>
      </c>
      <c r="H79" s="54">
        <v>45665</v>
      </c>
      <c r="I79" s="54">
        <v>45666</v>
      </c>
      <c r="J79" s="54">
        <v>45667</v>
      </c>
      <c r="K79" s="54">
        <v>45668</v>
      </c>
      <c r="L79" s="54">
        <v>45669</v>
      </c>
      <c r="M79" s="54">
        <v>45670</v>
      </c>
      <c r="N79" s="54">
        <v>45671</v>
      </c>
      <c r="O79" s="54">
        <v>45672</v>
      </c>
      <c r="P79" s="54">
        <v>45673</v>
      </c>
      <c r="Q79" s="54">
        <v>45674</v>
      </c>
      <c r="R79" s="54">
        <v>45675</v>
      </c>
      <c r="S79" s="54">
        <v>45676</v>
      </c>
      <c r="T79" s="54">
        <v>45677</v>
      </c>
      <c r="U79" s="54">
        <v>45678</v>
      </c>
      <c r="V79" s="54">
        <v>45679</v>
      </c>
      <c r="W79" s="54">
        <v>45680</v>
      </c>
      <c r="X79" s="54">
        <v>45681</v>
      </c>
      <c r="Y79" s="54">
        <v>45682</v>
      </c>
      <c r="Z79" s="54">
        <v>45683</v>
      </c>
      <c r="AA79" s="54">
        <v>45684</v>
      </c>
      <c r="AB79" s="54">
        <v>45685</v>
      </c>
      <c r="AC79" s="54">
        <v>45686</v>
      </c>
      <c r="AD79" s="54">
        <v>45687</v>
      </c>
      <c r="AE79" s="54">
        <v>45688</v>
      </c>
      <c r="AF79" s="54"/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>
        <v>34</v>
      </c>
      <c r="C80" s="56">
        <v>50</v>
      </c>
      <c r="D80" s="56">
        <v>41</v>
      </c>
      <c r="E80" s="56">
        <v>51</v>
      </c>
      <c r="F80" s="56">
        <v>39</v>
      </c>
      <c r="G80" s="56">
        <v>53</v>
      </c>
      <c r="H80" s="56">
        <v>55</v>
      </c>
      <c r="I80" s="56">
        <v>62</v>
      </c>
      <c r="J80" s="56">
        <v>101</v>
      </c>
      <c r="K80" s="56">
        <v>40</v>
      </c>
      <c r="L80" s="56">
        <v>26</v>
      </c>
      <c r="M80" s="56">
        <v>37</v>
      </c>
      <c r="N80" s="56">
        <v>35</v>
      </c>
      <c r="O80" s="56">
        <v>28</v>
      </c>
      <c r="P80" s="56">
        <v>38</v>
      </c>
      <c r="Q80" s="56">
        <v>99</v>
      </c>
      <c r="R80" s="56">
        <v>26</v>
      </c>
      <c r="S80" s="56">
        <v>31</v>
      </c>
      <c r="T80" s="56">
        <v>36</v>
      </c>
      <c r="U80" s="56">
        <v>23</v>
      </c>
      <c r="V80" s="56">
        <v>22</v>
      </c>
      <c r="W80" s="56">
        <v>28</v>
      </c>
      <c r="X80" s="56">
        <v>102</v>
      </c>
      <c r="Y80" s="56">
        <v>43</v>
      </c>
      <c r="Z80" s="56">
        <v>28</v>
      </c>
      <c r="AA80" s="56">
        <v>29</v>
      </c>
      <c r="AB80" s="56">
        <v>36</v>
      </c>
      <c r="AC80" s="56">
        <v>16</v>
      </c>
      <c r="AD80" s="56">
        <v>47</v>
      </c>
      <c r="AE80" s="56">
        <v>122</v>
      </c>
      <c r="AF80" s="56"/>
      <c r="AG80" s="63">
        <f>SUM(B80:AF80)</f>
        <v>1378</v>
      </c>
      <c r="AH80" s="63"/>
      <c r="AI80" s="63">
        <f>AG80</f>
        <v>1378</v>
      </c>
    </row>
    <row r="81" spans="1:67" ht="21">
      <c r="A81" s="55" t="s">
        <v>21</v>
      </c>
      <c r="B81" s="56">
        <v>19</v>
      </c>
      <c r="C81" s="56">
        <v>31</v>
      </c>
      <c r="D81" s="56">
        <v>24</v>
      </c>
      <c r="E81" s="56">
        <v>20</v>
      </c>
      <c r="F81" s="56">
        <v>18</v>
      </c>
      <c r="G81" s="56">
        <v>32</v>
      </c>
      <c r="H81" s="56">
        <v>31</v>
      </c>
      <c r="I81" s="56">
        <v>38</v>
      </c>
      <c r="J81" s="56">
        <v>62</v>
      </c>
      <c r="K81" s="56">
        <v>23</v>
      </c>
      <c r="L81" s="56">
        <v>23</v>
      </c>
      <c r="M81" s="56">
        <v>15</v>
      </c>
      <c r="N81" s="56">
        <v>24</v>
      </c>
      <c r="O81" s="56">
        <v>13</v>
      </c>
      <c r="P81" s="56">
        <v>24</v>
      </c>
      <c r="Q81" s="56">
        <v>56</v>
      </c>
      <c r="R81" s="56">
        <v>23</v>
      </c>
      <c r="S81" s="56">
        <v>20</v>
      </c>
      <c r="T81" s="56">
        <v>20</v>
      </c>
      <c r="U81" s="56">
        <v>8</v>
      </c>
      <c r="V81" s="56">
        <v>11</v>
      </c>
      <c r="W81" s="56">
        <v>22</v>
      </c>
      <c r="X81" s="56">
        <v>50</v>
      </c>
      <c r="Y81" s="56">
        <v>21</v>
      </c>
      <c r="Z81" s="56">
        <v>15</v>
      </c>
      <c r="AA81" s="56">
        <v>18</v>
      </c>
      <c r="AB81" s="56">
        <v>14</v>
      </c>
      <c r="AC81" s="56">
        <v>10</v>
      </c>
      <c r="AD81" s="56">
        <v>21</v>
      </c>
      <c r="AE81" s="56">
        <v>62</v>
      </c>
      <c r="AF81" s="56"/>
      <c r="AG81" s="63">
        <f t="shared" ref="AG81:AG88" si="34">SUM(B81:AF81)</f>
        <v>768</v>
      </c>
      <c r="AH81" s="63"/>
      <c r="AI81" s="63">
        <f>AG81+AH83+AH84+AH85</f>
        <v>768</v>
      </c>
    </row>
    <row r="82" spans="1:67" ht="21">
      <c r="A82" s="125" t="s">
        <v>22</v>
      </c>
      <c r="B82" s="125">
        <v>13</v>
      </c>
      <c r="C82" s="125">
        <v>25</v>
      </c>
      <c r="D82" s="125">
        <v>20</v>
      </c>
      <c r="E82" s="125">
        <v>14</v>
      </c>
      <c r="F82" s="125">
        <v>17</v>
      </c>
      <c r="G82" s="125">
        <v>26</v>
      </c>
      <c r="H82" s="125">
        <v>26</v>
      </c>
      <c r="I82" s="125">
        <v>35</v>
      </c>
      <c r="J82" s="125">
        <v>46</v>
      </c>
      <c r="K82" s="125">
        <v>22</v>
      </c>
      <c r="L82" s="125">
        <v>15</v>
      </c>
      <c r="M82" s="125">
        <v>14</v>
      </c>
      <c r="N82" s="125">
        <v>21</v>
      </c>
      <c r="O82" s="125">
        <v>11</v>
      </c>
      <c r="P82" s="125">
        <v>22</v>
      </c>
      <c r="Q82" s="125">
        <v>45</v>
      </c>
      <c r="R82" s="125">
        <v>19</v>
      </c>
      <c r="S82" s="125">
        <v>18</v>
      </c>
      <c r="T82" s="125">
        <v>19</v>
      </c>
      <c r="U82" s="125">
        <v>8</v>
      </c>
      <c r="V82" s="125">
        <v>11</v>
      </c>
      <c r="W82" s="125">
        <v>21</v>
      </c>
      <c r="X82" s="125">
        <v>41</v>
      </c>
      <c r="Y82" s="125">
        <v>21</v>
      </c>
      <c r="Z82" s="125">
        <v>13</v>
      </c>
      <c r="AA82" s="125">
        <v>16</v>
      </c>
      <c r="AB82" s="125">
        <v>11</v>
      </c>
      <c r="AC82" s="125">
        <v>9</v>
      </c>
      <c r="AD82" s="125">
        <v>20</v>
      </c>
      <c r="AE82" s="125">
        <v>51</v>
      </c>
      <c r="AF82" s="56"/>
      <c r="AG82" s="63">
        <f t="shared" si="34"/>
        <v>650</v>
      </c>
      <c r="AH82" s="63"/>
      <c r="AI82" s="63">
        <f>AG82+AH83+AH84+AH85</f>
        <v>650</v>
      </c>
    </row>
    <row r="83" spans="1:67" ht="21">
      <c r="A83" s="125" t="s">
        <v>23</v>
      </c>
      <c r="B83" s="125">
        <v>0</v>
      </c>
      <c r="C83" s="125">
        <v>0</v>
      </c>
      <c r="D83" s="125">
        <v>0</v>
      </c>
      <c r="E83" s="125">
        <v>0</v>
      </c>
      <c r="F83" s="125">
        <v>0</v>
      </c>
      <c r="G83" s="125">
        <v>0</v>
      </c>
      <c r="H83" s="125">
        <v>0</v>
      </c>
      <c r="I83" s="125">
        <v>1</v>
      </c>
      <c r="J83" s="125">
        <v>2</v>
      </c>
      <c r="K83" s="125">
        <v>0</v>
      </c>
      <c r="L83" s="125">
        <v>2</v>
      </c>
      <c r="M83" s="125">
        <v>0</v>
      </c>
      <c r="N83" s="125">
        <v>0</v>
      </c>
      <c r="O83" s="125">
        <v>0</v>
      </c>
      <c r="P83" s="125">
        <v>1</v>
      </c>
      <c r="Q83" s="125">
        <v>1</v>
      </c>
      <c r="R83" s="125">
        <v>0</v>
      </c>
      <c r="S83" s="125">
        <v>0</v>
      </c>
      <c r="T83" s="125">
        <v>0</v>
      </c>
      <c r="U83" s="125">
        <v>0</v>
      </c>
      <c r="V83" s="125">
        <v>0</v>
      </c>
      <c r="W83" s="125">
        <v>0</v>
      </c>
      <c r="X83" s="125">
        <v>0</v>
      </c>
      <c r="Y83" s="125">
        <v>0</v>
      </c>
      <c r="Z83" s="125">
        <v>0</v>
      </c>
      <c r="AA83" s="125">
        <v>0</v>
      </c>
      <c r="AB83" s="125">
        <v>0</v>
      </c>
      <c r="AC83" s="125">
        <v>0</v>
      </c>
      <c r="AD83" s="125">
        <v>0</v>
      </c>
      <c r="AE83" s="125">
        <v>0</v>
      </c>
      <c r="AF83" s="56"/>
      <c r="AG83" s="63">
        <f t="shared" si="34"/>
        <v>7</v>
      </c>
      <c r="AH83" s="63"/>
      <c r="AI83" s="63">
        <f t="shared" ref="AI83:AI88" si="35">AG83-AH83</f>
        <v>7</v>
      </c>
    </row>
    <row r="84" spans="1:67" ht="21">
      <c r="A84" s="125" t="s">
        <v>24</v>
      </c>
      <c r="B84" s="125">
        <v>0</v>
      </c>
      <c r="C84" s="125">
        <v>0</v>
      </c>
      <c r="D84" s="125">
        <v>0</v>
      </c>
      <c r="E84" s="125">
        <v>0</v>
      </c>
      <c r="F84" s="125">
        <v>0</v>
      </c>
      <c r="G84" s="125">
        <v>0</v>
      </c>
      <c r="H84" s="125">
        <v>0</v>
      </c>
      <c r="I84" s="125">
        <v>0</v>
      </c>
      <c r="J84" s="125">
        <v>1</v>
      </c>
      <c r="K84" s="125">
        <v>0</v>
      </c>
      <c r="L84" s="125">
        <v>0</v>
      </c>
      <c r="M84" s="125">
        <v>0</v>
      </c>
      <c r="N84" s="125">
        <v>0</v>
      </c>
      <c r="O84" s="125">
        <v>0</v>
      </c>
      <c r="P84" s="125">
        <v>0</v>
      </c>
      <c r="Q84" s="125">
        <v>0</v>
      </c>
      <c r="R84" s="125">
        <v>0</v>
      </c>
      <c r="S84" s="125">
        <v>0</v>
      </c>
      <c r="T84" s="125">
        <v>0</v>
      </c>
      <c r="U84" s="125">
        <v>0</v>
      </c>
      <c r="V84" s="125">
        <v>0</v>
      </c>
      <c r="W84" s="125">
        <v>0</v>
      </c>
      <c r="X84" s="125">
        <v>0</v>
      </c>
      <c r="Y84" s="125">
        <v>0</v>
      </c>
      <c r="Z84" s="125">
        <v>0</v>
      </c>
      <c r="AA84" s="125">
        <v>0</v>
      </c>
      <c r="AB84" s="125">
        <v>0</v>
      </c>
      <c r="AC84" s="125">
        <v>0</v>
      </c>
      <c r="AD84" s="125">
        <v>0</v>
      </c>
      <c r="AE84" s="125">
        <v>0</v>
      </c>
      <c r="AF84" s="56"/>
      <c r="AG84" s="63">
        <f t="shared" si="34"/>
        <v>1</v>
      </c>
      <c r="AH84" s="63"/>
      <c r="AI84" s="63">
        <f t="shared" si="35"/>
        <v>1</v>
      </c>
    </row>
    <row r="85" spans="1:67" ht="21">
      <c r="A85" s="125" t="s">
        <v>26</v>
      </c>
      <c r="B85" s="125">
        <v>6</v>
      </c>
      <c r="C85" s="125">
        <v>6</v>
      </c>
      <c r="D85" s="125">
        <v>4</v>
      </c>
      <c r="E85" s="125">
        <v>6</v>
      </c>
      <c r="F85" s="125">
        <v>1</v>
      </c>
      <c r="G85" s="125">
        <v>6</v>
      </c>
      <c r="H85" s="125">
        <v>5</v>
      </c>
      <c r="I85" s="125">
        <v>2</v>
      </c>
      <c r="J85" s="125">
        <v>13</v>
      </c>
      <c r="K85" s="125">
        <v>1</v>
      </c>
      <c r="L85" s="125">
        <v>6</v>
      </c>
      <c r="M85" s="125">
        <v>1</v>
      </c>
      <c r="N85" s="125">
        <v>3</v>
      </c>
      <c r="O85" s="125">
        <v>2</v>
      </c>
      <c r="P85" s="125">
        <v>1</v>
      </c>
      <c r="Q85" s="125">
        <v>10</v>
      </c>
      <c r="R85" s="125">
        <v>4</v>
      </c>
      <c r="S85" s="125">
        <v>2</v>
      </c>
      <c r="T85" s="125">
        <v>1</v>
      </c>
      <c r="U85" s="125">
        <v>0</v>
      </c>
      <c r="V85" s="125">
        <v>0</v>
      </c>
      <c r="W85" s="125">
        <v>1</v>
      </c>
      <c r="X85" s="125">
        <v>9</v>
      </c>
      <c r="Y85" s="125">
        <v>0</v>
      </c>
      <c r="Z85" s="125">
        <v>2</v>
      </c>
      <c r="AA85" s="125">
        <v>2</v>
      </c>
      <c r="AB85" s="125">
        <v>3</v>
      </c>
      <c r="AC85" s="125">
        <v>1</v>
      </c>
      <c r="AD85" s="125">
        <v>1</v>
      </c>
      <c r="AE85" s="125">
        <v>11</v>
      </c>
      <c r="AF85" s="56"/>
      <c r="AG85" s="63">
        <f t="shared" si="34"/>
        <v>110</v>
      </c>
      <c r="AH85" s="63"/>
      <c r="AI85" s="63">
        <f t="shared" si="35"/>
        <v>110</v>
      </c>
    </row>
    <row r="86" spans="1:67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4"/>
        <v>0</v>
      </c>
      <c r="AH86" s="70"/>
      <c r="AI86" s="63">
        <f t="shared" si="35"/>
        <v>0</v>
      </c>
    </row>
    <row r="87" spans="1:67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4"/>
        <v>0</v>
      </c>
      <c r="AH87" s="71"/>
      <c r="AI87" s="63">
        <f t="shared" si="35"/>
        <v>0</v>
      </c>
    </row>
    <row r="88" spans="1:67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4"/>
        <v>0</v>
      </c>
      <c r="AH88" s="63"/>
      <c r="AI88" s="63">
        <f t="shared" si="35"/>
        <v>0</v>
      </c>
    </row>
    <row r="89" spans="1:67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BD89" s="3"/>
      <c r="BE89" s="41"/>
      <c r="BF89" s="41"/>
      <c r="BI89" s="3"/>
      <c r="BJ89" s="3"/>
      <c r="BK89" s="3"/>
      <c r="BL89" s="3"/>
      <c r="BM89" s="3"/>
      <c r="BN89" s="3"/>
      <c r="BO89" s="3"/>
    </row>
    <row r="90" spans="1:67" ht="21">
      <c r="A90" s="53"/>
      <c r="B90" s="54">
        <v>45659</v>
      </c>
      <c r="C90" s="54">
        <v>45660</v>
      </c>
      <c r="D90" s="54">
        <v>45661</v>
      </c>
      <c r="E90" s="54">
        <v>45662</v>
      </c>
      <c r="F90" s="54">
        <v>45663</v>
      </c>
      <c r="G90" s="54">
        <v>45664</v>
      </c>
      <c r="H90" s="54">
        <v>45665</v>
      </c>
      <c r="I90" s="54">
        <v>45666</v>
      </c>
      <c r="J90" s="54">
        <v>45667</v>
      </c>
      <c r="K90" s="54">
        <v>45668</v>
      </c>
      <c r="L90" s="54">
        <v>45669</v>
      </c>
      <c r="M90" s="54">
        <v>45670</v>
      </c>
      <c r="N90" s="54">
        <v>45671</v>
      </c>
      <c r="O90" s="54">
        <v>45672</v>
      </c>
      <c r="P90" s="54">
        <v>45673</v>
      </c>
      <c r="Q90" s="54">
        <v>45674</v>
      </c>
      <c r="R90" s="54">
        <v>45675</v>
      </c>
      <c r="S90" s="54">
        <v>45676</v>
      </c>
      <c r="T90" s="54">
        <v>45677</v>
      </c>
      <c r="U90" s="54">
        <v>45678</v>
      </c>
      <c r="V90" s="54">
        <v>45679</v>
      </c>
      <c r="W90" s="54">
        <v>45680</v>
      </c>
      <c r="X90" s="54">
        <v>45681</v>
      </c>
      <c r="Y90" s="54">
        <v>45682</v>
      </c>
      <c r="Z90" s="54">
        <v>45683</v>
      </c>
      <c r="AA90" s="54">
        <v>45684</v>
      </c>
      <c r="AB90" s="54">
        <v>45685</v>
      </c>
      <c r="AC90" s="54">
        <v>45686</v>
      </c>
      <c r="AD90" s="54">
        <v>45687</v>
      </c>
      <c r="AE90" s="54">
        <v>45688</v>
      </c>
      <c r="AF90" s="54"/>
      <c r="AG90" s="61" t="s">
        <v>2</v>
      </c>
      <c r="AH90" s="61" t="s">
        <v>3</v>
      </c>
      <c r="AI90" s="62" t="s">
        <v>59</v>
      </c>
    </row>
    <row r="91" spans="1:67" ht="21">
      <c r="A91" s="55" t="s">
        <v>56</v>
      </c>
      <c r="B91" s="56">
        <v>0</v>
      </c>
      <c r="C91" s="56">
        <v>53</v>
      </c>
      <c r="D91" s="56">
        <v>0</v>
      </c>
      <c r="E91" s="56">
        <v>34</v>
      </c>
      <c r="F91" s="56">
        <v>27</v>
      </c>
      <c r="G91" s="56">
        <v>31</v>
      </c>
      <c r="H91" s="56">
        <v>22</v>
      </c>
      <c r="I91" s="56">
        <v>36</v>
      </c>
      <c r="J91" s="56">
        <v>48</v>
      </c>
      <c r="K91" s="56">
        <v>0</v>
      </c>
      <c r="L91" s="56">
        <v>29</v>
      </c>
      <c r="M91" s="56">
        <v>25</v>
      </c>
      <c r="N91" s="56">
        <v>31</v>
      </c>
      <c r="O91" s="56">
        <v>31</v>
      </c>
      <c r="P91" s="56">
        <v>37</v>
      </c>
      <c r="Q91" s="56">
        <v>37</v>
      </c>
      <c r="R91" s="56">
        <v>0</v>
      </c>
      <c r="S91" s="56">
        <v>37</v>
      </c>
      <c r="T91" s="56">
        <v>49</v>
      </c>
      <c r="U91" s="56">
        <v>29</v>
      </c>
      <c r="V91" s="56">
        <v>35</v>
      </c>
      <c r="W91" s="56">
        <v>30</v>
      </c>
      <c r="X91" s="56">
        <v>57</v>
      </c>
      <c r="Y91" s="56">
        <v>35</v>
      </c>
      <c r="Z91" s="56">
        <v>57</v>
      </c>
      <c r="AA91" s="56">
        <v>61</v>
      </c>
      <c r="AB91" s="56">
        <v>35</v>
      </c>
      <c r="AC91" s="56">
        <v>23</v>
      </c>
      <c r="AD91" s="56">
        <v>58</v>
      </c>
      <c r="AE91" s="56">
        <v>78</v>
      </c>
      <c r="AF91" s="56"/>
      <c r="AG91" s="63">
        <f>SUM(B91:AF91)</f>
        <v>1025</v>
      </c>
      <c r="AH91" s="63"/>
      <c r="AI91" s="63">
        <f>AG91</f>
        <v>1025</v>
      </c>
    </row>
    <row r="92" spans="1:67" ht="21">
      <c r="A92" s="55" t="s">
        <v>21</v>
      </c>
      <c r="B92" s="56">
        <v>0</v>
      </c>
      <c r="C92" s="56">
        <v>27</v>
      </c>
      <c r="D92" s="56">
        <v>0</v>
      </c>
      <c r="E92" s="56">
        <v>20</v>
      </c>
      <c r="F92" s="56">
        <v>18</v>
      </c>
      <c r="G92" s="56">
        <v>23</v>
      </c>
      <c r="H92" s="56">
        <v>13</v>
      </c>
      <c r="I92" s="56">
        <v>23</v>
      </c>
      <c r="J92" s="56">
        <v>26</v>
      </c>
      <c r="K92" s="56">
        <v>0</v>
      </c>
      <c r="L92" s="56">
        <v>18</v>
      </c>
      <c r="M92" s="56">
        <v>19</v>
      </c>
      <c r="N92" s="56">
        <v>17</v>
      </c>
      <c r="O92" s="56">
        <v>23</v>
      </c>
      <c r="P92" s="56">
        <v>17</v>
      </c>
      <c r="Q92" s="56">
        <v>22</v>
      </c>
      <c r="R92" s="56">
        <v>0</v>
      </c>
      <c r="S92" s="56">
        <v>20</v>
      </c>
      <c r="T92" s="56">
        <v>28</v>
      </c>
      <c r="U92" s="56">
        <v>24</v>
      </c>
      <c r="V92" s="56">
        <v>24</v>
      </c>
      <c r="W92" s="56">
        <v>20</v>
      </c>
      <c r="X92" s="56">
        <v>25</v>
      </c>
      <c r="Y92" s="56">
        <v>18</v>
      </c>
      <c r="Z92" s="56">
        <v>25</v>
      </c>
      <c r="AA92" s="56">
        <v>25</v>
      </c>
      <c r="AB92" s="56">
        <v>20</v>
      </c>
      <c r="AC92" s="56">
        <v>11</v>
      </c>
      <c r="AD92" s="56">
        <v>28</v>
      </c>
      <c r="AE92" s="56">
        <v>43</v>
      </c>
      <c r="AF92" s="56"/>
      <c r="AG92" s="63">
        <f t="shared" ref="AG92:AG99" si="36">SUM(B92:AF92)</f>
        <v>577</v>
      </c>
      <c r="AH92" s="63"/>
      <c r="AI92" s="63">
        <f>AG92+AH94+AH95+AH96</f>
        <v>577</v>
      </c>
    </row>
    <row r="93" spans="1:67" ht="21">
      <c r="A93" s="125" t="s">
        <v>22</v>
      </c>
      <c r="B93" s="125">
        <v>0</v>
      </c>
      <c r="C93" s="125">
        <v>24</v>
      </c>
      <c r="D93" s="125">
        <v>0</v>
      </c>
      <c r="E93" s="125">
        <v>19</v>
      </c>
      <c r="F93" s="125">
        <v>17</v>
      </c>
      <c r="G93" s="125">
        <v>22</v>
      </c>
      <c r="H93" s="125">
        <v>13</v>
      </c>
      <c r="I93" s="125">
        <v>23</v>
      </c>
      <c r="J93" s="125">
        <v>26</v>
      </c>
      <c r="K93" s="125">
        <v>0</v>
      </c>
      <c r="L93" s="125">
        <v>18</v>
      </c>
      <c r="M93" s="125">
        <v>18</v>
      </c>
      <c r="N93" s="125">
        <v>14</v>
      </c>
      <c r="O93" s="125">
        <v>20</v>
      </c>
      <c r="P93" s="125">
        <v>16</v>
      </c>
      <c r="Q93" s="125">
        <v>22</v>
      </c>
      <c r="R93" s="125">
        <v>0</v>
      </c>
      <c r="S93" s="125">
        <v>20</v>
      </c>
      <c r="T93" s="125">
        <v>28</v>
      </c>
      <c r="U93" s="125">
        <v>21</v>
      </c>
      <c r="V93" s="125">
        <v>24</v>
      </c>
      <c r="W93" s="125">
        <v>20</v>
      </c>
      <c r="X93" s="125">
        <v>25</v>
      </c>
      <c r="Y93" s="125">
        <v>18</v>
      </c>
      <c r="Z93" s="125">
        <v>24</v>
      </c>
      <c r="AA93" s="125">
        <v>23</v>
      </c>
      <c r="AB93" s="125">
        <v>20</v>
      </c>
      <c r="AC93" s="125">
        <v>11</v>
      </c>
      <c r="AD93" s="125">
        <v>28</v>
      </c>
      <c r="AE93" s="125">
        <v>43</v>
      </c>
      <c r="AF93" s="56"/>
      <c r="AG93" s="63">
        <f t="shared" si="36"/>
        <v>557</v>
      </c>
      <c r="AH93" s="63"/>
      <c r="AI93" s="63">
        <f>AG93+AH94+AH95+AH96</f>
        <v>557</v>
      </c>
    </row>
    <row r="94" spans="1:67" ht="21">
      <c r="A94" s="125" t="s">
        <v>23</v>
      </c>
      <c r="B94" s="125">
        <v>0</v>
      </c>
      <c r="C94" s="125">
        <v>0</v>
      </c>
      <c r="D94" s="125">
        <v>0</v>
      </c>
      <c r="E94" s="125">
        <v>0</v>
      </c>
      <c r="F94" s="125">
        <v>0</v>
      </c>
      <c r="G94" s="125">
        <v>0</v>
      </c>
      <c r="H94" s="125">
        <v>0</v>
      </c>
      <c r="I94" s="125">
        <v>0</v>
      </c>
      <c r="J94" s="125">
        <v>0</v>
      </c>
      <c r="K94" s="125">
        <v>0</v>
      </c>
      <c r="L94" s="125">
        <v>0</v>
      </c>
      <c r="M94" s="125">
        <v>0</v>
      </c>
      <c r="N94" s="125">
        <v>0</v>
      </c>
      <c r="O94" s="125">
        <v>1</v>
      </c>
      <c r="P94" s="125">
        <v>0</v>
      </c>
      <c r="Q94" s="125">
        <v>0</v>
      </c>
      <c r="R94" s="125">
        <v>0</v>
      </c>
      <c r="S94" s="125">
        <v>0</v>
      </c>
      <c r="T94" s="125">
        <v>0</v>
      </c>
      <c r="U94" s="125">
        <v>0</v>
      </c>
      <c r="V94" s="125">
        <v>0</v>
      </c>
      <c r="W94" s="125">
        <v>0</v>
      </c>
      <c r="X94" s="125">
        <v>0</v>
      </c>
      <c r="Y94" s="125">
        <v>0</v>
      </c>
      <c r="Z94" s="125">
        <v>1</v>
      </c>
      <c r="AA94" s="125">
        <v>0</v>
      </c>
      <c r="AB94" s="125">
        <v>0</v>
      </c>
      <c r="AC94" s="125">
        <v>0</v>
      </c>
      <c r="AD94" s="125">
        <v>0</v>
      </c>
      <c r="AE94" s="125">
        <v>0</v>
      </c>
      <c r="AF94" s="56"/>
      <c r="AG94" s="63">
        <f t="shared" si="36"/>
        <v>2</v>
      </c>
      <c r="AH94" s="63"/>
      <c r="AI94" s="63">
        <f t="shared" ref="AI94:AI99" si="37">AG94-AH94</f>
        <v>2</v>
      </c>
    </row>
    <row r="95" spans="1:67" ht="21">
      <c r="A95" s="125" t="s">
        <v>24</v>
      </c>
      <c r="B95" s="125">
        <v>0</v>
      </c>
      <c r="C95" s="125">
        <v>0</v>
      </c>
      <c r="D95" s="125">
        <v>0</v>
      </c>
      <c r="E95" s="125">
        <v>0</v>
      </c>
      <c r="F95" s="125">
        <v>0</v>
      </c>
      <c r="G95" s="125">
        <v>0</v>
      </c>
      <c r="H95" s="125">
        <v>0</v>
      </c>
      <c r="I95" s="125">
        <v>0</v>
      </c>
      <c r="J95" s="125">
        <v>0</v>
      </c>
      <c r="K95" s="125">
        <v>0</v>
      </c>
      <c r="L95" s="125">
        <v>0</v>
      </c>
      <c r="M95" s="125">
        <v>0</v>
      </c>
      <c r="N95" s="125">
        <v>0</v>
      </c>
      <c r="O95" s="125">
        <v>0</v>
      </c>
      <c r="P95" s="125">
        <v>0</v>
      </c>
      <c r="Q95" s="125">
        <v>0</v>
      </c>
      <c r="R95" s="125">
        <v>0</v>
      </c>
      <c r="S95" s="125">
        <v>0</v>
      </c>
      <c r="T95" s="125">
        <v>0</v>
      </c>
      <c r="U95" s="125">
        <v>0</v>
      </c>
      <c r="V95" s="125">
        <v>0</v>
      </c>
      <c r="W95" s="125">
        <v>0</v>
      </c>
      <c r="X95" s="125">
        <v>0</v>
      </c>
      <c r="Y95" s="125">
        <v>0</v>
      </c>
      <c r="Z95" s="125">
        <v>0</v>
      </c>
      <c r="AA95" s="125">
        <v>0</v>
      </c>
      <c r="AB95" s="125">
        <v>0</v>
      </c>
      <c r="AC95" s="125">
        <v>0</v>
      </c>
      <c r="AD95" s="125">
        <v>0</v>
      </c>
      <c r="AE95" s="125">
        <v>0</v>
      </c>
      <c r="AF95" s="56"/>
      <c r="AG95" s="63">
        <f t="shared" si="36"/>
        <v>0</v>
      </c>
      <c r="AH95" s="63"/>
      <c r="AI95" s="63">
        <f t="shared" si="37"/>
        <v>0</v>
      </c>
    </row>
    <row r="96" spans="1:67" ht="21">
      <c r="A96" s="125" t="s">
        <v>26</v>
      </c>
      <c r="B96" s="125">
        <v>0</v>
      </c>
      <c r="C96" s="125">
        <v>3</v>
      </c>
      <c r="D96" s="125">
        <v>0</v>
      </c>
      <c r="E96" s="125">
        <v>1</v>
      </c>
      <c r="F96" s="125">
        <v>1</v>
      </c>
      <c r="G96" s="125">
        <v>1</v>
      </c>
      <c r="H96" s="125">
        <v>0</v>
      </c>
      <c r="I96" s="125">
        <v>0</v>
      </c>
      <c r="J96" s="125">
        <v>0</v>
      </c>
      <c r="K96" s="125">
        <v>0</v>
      </c>
      <c r="L96" s="125">
        <v>0</v>
      </c>
      <c r="M96" s="125">
        <v>1</v>
      </c>
      <c r="N96" s="125">
        <v>3</v>
      </c>
      <c r="O96" s="125">
        <v>2</v>
      </c>
      <c r="P96" s="125">
        <v>1</v>
      </c>
      <c r="Q96" s="125">
        <v>0</v>
      </c>
      <c r="R96" s="125">
        <v>0</v>
      </c>
      <c r="S96" s="125">
        <v>0</v>
      </c>
      <c r="T96" s="125">
        <v>0</v>
      </c>
      <c r="U96" s="125">
        <v>3</v>
      </c>
      <c r="V96" s="125">
        <v>0</v>
      </c>
      <c r="W96" s="125">
        <v>0</v>
      </c>
      <c r="X96" s="125">
        <v>0</v>
      </c>
      <c r="Y96" s="125">
        <v>0</v>
      </c>
      <c r="Z96" s="125">
        <v>0</v>
      </c>
      <c r="AA96" s="125">
        <v>2</v>
      </c>
      <c r="AB96" s="125">
        <v>0</v>
      </c>
      <c r="AC96" s="125">
        <v>0</v>
      </c>
      <c r="AD96" s="125">
        <v>0</v>
      </c>
      <c r="AE96" s="125">
        <v>0</v>
      </c>
      <c r="AF96" s="56"/>
      <c r="AG96" s="63">
        <f t="shared" si="36"/>
        <v>18</v>
      </c>
      <c r="AH96" s="63"/>
      <c r="AI96" s="63">
        <f t="shared" si="37"/>
        <v>18</v>
      </c>
    </row>
    <row r="97" spans="1:75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6"/>
        <v>0</v>
      </c>
      <c r="AH97" s="70"/>
      <c r="AI97" s="63">
        <f t="shared" si="37"/>
        <v>0</v>
      </c>
    </row>
    <row r="98" spans="1:75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6"/>
        <v>0</v>
      </c>
      <c r="AH98" s="71"/>
      <c r="AI98" s="63">
        <f t="shared" si="37"/>
        <v>0</v>
      </c>
    </row>
    <row r="99" spans="1:75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6"/>
        <v>0</v>
      </c>
      <c r="AH99" s="63"/>
      <c r="AI99" s="63">
        <f t="shared" si="37"/>
        <v>0</v>
      </c>
    </row>
    <row r="100" spans="1:75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BD100" s="3"/>
      <c r="BE100" s="41"/>
      <c r="BF100" s="41"/>
      <c r="BI100" s="3"/>
      <c r="BJ100" s="3"/>
      <c r="BK100" s="3"/>
      <c r="BL100" s="3"/>
      <c r="BM100" s="3"/>
      <c r="BN100" s="3"/>
      <c r="BO100" s="3"/>
    </row>
    <row r="101" spans="1:75" ht="21">
      <c r="A101" s="53"/>
      <c r="B101" s="54">
        <v>45659</v>
      </c>
      <c r="C101" s="54">
        <v>45660</v>
      </c>
      <c r="D101" s="54">
        <v>45661</v>
      </c>
      <c r="E101" s="54">
        <v>45662</v>
      </c>
      <c r="F101" s="54">
        <v>45663</v>
      </c>
      <c r="G101" s="54">
        <v>45664</v>
      </c>
      <c r="H101" s="54">
        <v>45665</v>
      </c>
      <c r="I101" s="54">
        <v>45666</v>
      </c>
      <c r="J101" s="54">
        <v>45667</v>
      </c>
      <c r="K101" s="54">
        <v>45668</v>
      </c>
      <c r="L101" s="54">
        <v>45669</v>
      </c>
      <c r="M101" s="54">
        <v>45670</v>
      </c>
      <c r="N101" s="54">
        <v>45671</v>
      </c>
      <c r="O101" s="54">
        <v>45672</v>
      </c>
      <c r="P101" s="54">
        <v>45673</v>
      </c>
      <c r="Q101" s="54">
        <v>45674</v>
      </c>
      <c r="R101" s="54">
        <v>45675</v>
      </c>
      <c r="S101" s="54">
        <v>45676</v>
      </c>
      <c r="T101" s="54">
        <v>45677</v>
      </c>
      <c r="U101" s="54">
        <v>45678</v>
      </c>
      <c r="V101" s="54">
        <v>45679</v>
      </c>
      <c r="W101" s="54">
        <v>45680</v>
      </c>
      <c r="X101" s="54">
        <v>45681</v>
      </c>
      <c r="Y101" s="54">
        <v>45682</v>
      </c>
      <c r="Z101" s="54">
        <v>45683</v>
      </c>
      <c r="AA101" s="54">
        <v>45684</v>
      </c>
      <c r="AB101" s="54">
        <v>45685</v>
      </c>
      <c r="AC101" s="54">
        <v>45686</v>
      </c>
      <c r="AD101" s="54">
        <v>45687</v>
      </c>
      <c r="AE101" s="54">
        <v>45688</v>
      </c>
      <c r="AF101" s="54">
        <v>45657</v>
      </c>
      <c r="AG101" s="61" t="s">
        <v>2</v>
      </c>
      <c r="AH101" s="61" t="s">
        <v>3</v>
      </c>
      <c r="AI101" s="62" t="s">
        <v>61</v>
      </c>
    </row>
    <row r="102" spans="1:75" ht="21">
      <c r="A102" s="55" t="s">
        <v>56</v>
      </c>
      <c r="B102" s="56">
        <v>0</v>
      </c>
      <c r="C102" s="56">
        <v>45</v>
      </c>
      <c r="D102" s="56">
        <v>22</v>
      </c>
      <c r="E102" s="56">
        <v>36</v>
      </c>
      <c r="F102" s="56">
        <v>27</v>
      </c>
      <c r="G102" s="56">
        <v>17</v>
      </c>
      <c r="H102" s="56">
        <v>20</v>
      </c>
      <c r="I102" s="56">
        <v>35</v>
      </c>
      <c r="J102" s="56">
        <v>50</v>
      </c>
      <c r="K102" s="56">
        <v>32</v>
      </c>
      <c r="L102" s="56">
        <v>16</v>
      </c>
      <c r="M102" s="56">
        <v>17</v>
      </c>
      <c r="N102" s="56">
        <v>20</v>
      </c>
      <c r="O102" s="56">
        <v>14</v>
      </c>
      <c r="P102" s="56">
        <v>41</v>
      </c>
      <c r="Q102" s="56">
        <v>53</v>
      </c>
      <c r="R102" s="56">
        <v>18</v>
      </c>
      <c r="S102" s="56">
        <v>37</v>
      </c>
      <c r="T102" s="56">
        <v>45</v>
      </c>
      <c r="U102" s="56">
        <v>19</v>
      </c>
      <c r="V102" s="56">
        <v>26</v>
      </c>
      <c r="W102" s="56">
        <v>42</v>
      </c>
      <c r="X102" s="56">
        <v>47</v>
      </c>
      <c r="Y102" s="56">
        <v>0</v>
      </c>
      <c r="Z102" s="56">
        <v>36</v>
      </c>
      <c r="AA102" s="56">
        <v>59</v>
      </c>
      <c r="AB102" s="56">
        <v>15</v>
      </c>
      <c r="AC102" s="56">
        <v>25</v>
      </c>
      <c r="AD102" s="56">
        <v>52</v>
      </c>
      <c r="AE102" s="56">
        <v>0</v>
      </c>
      <c r="AF102" s="56"/>
      <c r="AG102" s="63">
        <f>SUM(B102:AF102)</f>
        <v>866</v>
      </c>
      <c r="AH102" s="63"/>
      <c r="AI102" s="63">
        <f>AG102</f>
        <v>866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2"/>
      <c r="BV102" s="122"/>
      <c r="BW102" s="123"/>
    </row>
    <row r="103" spans="1:75" ht="21">
      <c r="A103" s="55" t="s">
        <v>21</v>
      </c>
      <c r="B103" s="56">
        <v>0</v>
      </c>
      <c r="C103" s="56">
        <v>25</v>
      </c>
      <c r="D103" s="56">
        <v>15</v>
      </c>
      <c r="E103" s="56">
        <v>18</v>
      </c>
      <c r="F103" s="56">
        <v>17</v>
      </c>
      <c r="G103" s="56">
        <v>12</v>
      </c>
      <c r="H103" s="56">
        <v>7</v>
      </c>
      <c r="I103" s="56">
        <v>24</v>
      </c>
      <c r="J103" s="56">
        <v>32</v>
      </c>
      <c r="K103" s="56">
        <v>18</v>
      </c>
      <c r="L103" s="56">
        <v>5</v>
      </c>
      <c r="M103" s="56">
        <v>9</v>
      </c>
      <c r="N103" s="56">
        <v>13</v>
      </c>
      <c r="O103" s="56">
        <v>4</v>
      </c>
      <c r="P103" s="56">
        <v>24</v>
      </c>
      <c r="Q103" s="56">
        <v>29</v>
      </c>
      <c r="R103" s="56">
        <v>8</v>
      </c>
      <c r="S103" s="56">
        <v>11</v>
      </c>
      <c r="T103" s="56">
        <v>22</v>
      </c>
      <c r="U103" s="56">
        <v>10</v>
      </c>
      <c r="V103" s="56">
        <v>17</v>
      </c>
      <c r="W103" s="56">
        <v>24</v>
      </c>
      <c r="X103" s="56">
        <v>25</v>
      </c>
      <c r="Y103" s="56">
        <v>0</v>
      </c>
      <c r="Z103" s="56">
        <v>14</v>
      </c>
      <c r="AA103" s="56">
        <v>24</v>
      </c>
      <c r="AB103" s="56">
        <v>8</v>
      </c>
      <c r="AC103" s="56">
        <v>16</v>
      </c>
      <c r="AD103" s="56">
        <v>29</v>
      </c>
      <c r="AE103" s="56">
        <v>0</v>
      </c>
      <c r="AF103" s="56"/>
      <c r="AG103" s="63">
        <f t="shared" ref="AG103:AG110" si="38">SUM(B103:AF103)</f>
        <v>460</v>
      </c>
      <c r="AH103" s="63"/>
      <c r="AI103" s="63">
        <f>AG103+AH105+AH106+AH107</f>
        <v>460</v>
      </c>
      <c r="BE103"/>
      <c r="BF103"/>
      <c r="BG103"/>
      <c r="BH103"/>
    </row>
    <row r="104" spans="1:75" ht="21">
      <c r="A104" s="125" t="s">
        <v>22</v>
      </c>
      <c r="B104" s="125">
        <v>0</v>
      </c>
      <c r="C104" s="125">
        <v>24</v>
      </c>
      <c r="D104" s="125">
        <v>15</v>
      </c>
      <c r="E104" s="125">
        <v>13</v>
      </c>
      <c r="F104" s="125">
        <v>16</v>
      </c>
      <c r="G104" s="125">
        <v>11</v>
      </c>
      <c r="H104" s="125">
        <v>7</v>
      </c>
      <c r="I104" s="125">
        <v>24</v>
      </c>
      <c r="J104" s="125">
        <v>32</v>
      </c>
      <c r="K104" s="125">
        <v>18</v>
      </c>
      <c r="L104" s="125">
        <v>5</v>
      </c>
      <c r="M104" s="125">
        <v>9</v>
      </c>
      <c r="N104" s="125">
        <v>12</v>
      </c>
      <c r="O104" s="125">
        <v>4</v>
      </c>
      <c r="P104" s="125">
        <v>24</v>
      </c>
      <c r="Q104" s="125">
        <v>28</v>
      </c>
      <c r="R104" s="125">
        <v>7</v>
      </c>
      <c r="S104" s="125">
        <v>11</v>
      </c>
      <c r="T104" s="125">
        <v>22</v>
      </c>
      <c r="U104" s="125">
        <v>10</v>
      </c>
      <c r="V104" s="125">
        <v>17</v>
      </c>
      <c r="W104" s="125">
        <v>24</v>
      </c>
      <c r="X104" s="125">
        <v>24</v>
      </c>
      <c r="Y104" s="125">
        <v>0</v>
      </c>
      <c r="Z104" s="125">
        <v>13</v>
      </c>
      <c r="AA104" s="125">
        <v>23</v>
      </c>
      <c r="AB104" s="125">
        <v>7</v>
      </c>
      <c r="AC104" s="125">
        <v>16</v>
      </c>
      <c r="AD104" s="125">
        <v>28</v>
      </c>
      <c r="AE104" s="125">
        <v>0</v>
      </c>
      <c r="AF104" s="56"/>
      <c r="AG104" s="63">
        <f t="shared" si="38"/>
        <v>444</v>
      </c>
      <c r="AH104" s="63"/>
      <c r="AI104" s="63">
        <f>AG104+AH105+AH106+AH107</f>
        <v>444</v>
      </c>
    </row>
    <row r="105" spans="1:75" ht="21">
      <c r="A105" s="125" t="s">
        <v>23</v>
      </c>
      <c r="B105" s="125">
        <v>0</v>
      </c>
      <c r="C105" s="125">
        <v>0</v>
      </c>
      <c r="D105" s="125">
        <v>0</v>
      </c>
      <c r="E105" s="125">
        <v>0</v>
      </c>
      <c r="F105" s="125">
        <v>0</v>
      </c>
      <c r="G105" s="125">
        <v>0</v>
      </c>
      <c r="H105" s="125">
        <v>0</v>
      </c>
      <c r="I105" s="125">
        <v>0</v>
      </c>
      <c r="J105" s="125">
        <v>0</v>
      </c>
      <c r="K105" s="125">
        <v>0</v>
      </c>
      <c r="L105" s="125">
        <v>0</v>
      </c>
      <c r="M105" s="125">
        <v>0</v>
      </c>
      <c r="N105" s="125">
        <v>0</v>
      </c>
      <c r="O105" s="125">
        <v>0</v>
      </c>
      <c r="P105" s="125">
        <v>0</v>
      </c>
      <c r="Q105" s="125">
        <v>0</v>
      </c>
      <c r="R105" s="125">
        <v>0</v>
      </c>
      <c r="S105" s="125">
        <v>0</v>
      </c>
      <c r="T105" s="125">
        <v>0</v>
      </c>
      <c r="U105" s="125">
        <v>0</v>
      </c>
      <c r="V105" s="125">
        <v>0</v>
      </c>
      <c r="W105" s="125">
        <v>0</v>
      </c>
      <c r="X105" s="125">
        <v>1</v>
      </c>
      <c r="Y105" s="125">
        <v>0</v>
      </c>
      <c r="Z105" s="125">
        <v>1</v>
      </c>
      <c r="AA105" s="125">
        <v>1</v>
      </c>
      <c r="AB105" s="125">
        <v>0</v>
      </c>
      <c r="AC105" s="125">
        <v>0</v>
      </c>
      <c r="AD105" s="125">
        <v>1</v>
      </c>
      <c r="AE105" s="125">
        <v>0</v>
      </c>
      <c r="AF105" s="56"/>
      <c r="AG105" s="63">
        <f t="shared" si="38"/>
        <v>4</v>
      </c>
      <c r="AH105" s="63"/>
      <c r="AI105" s="63">
        <f t="shared" ref="AI105:AI110" si="39">AG105-AH105</f>
        <v>4</v>
      </c>
    </row>
    <row r="106" spans="1:75" ht="21">
      <c r="A106" s="125" t="s">
        <v>24</v>
      </c>
      <c r="B106" s="125">
        <v>0</v>
      </c>
      <c r="C106" s="125">
        <v>0</v>
      </c>
      <c r="D106" s="125">
        <v>0</v>
      </c>
      <c r="E106" s="125">
        <v>0</v>
      </c>
      <c r="F106" s="125">
        <v>0</v>
      </c>
      <c r="G106" s="125">
        <v>0</v>
      </c>
      <c r="H106" s="125">
        <v>0</v>
      </c>
      <c r="I106" s="125">
        <v>0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0</v>
      </c>
      <c r="R106" s="125">
        <v>0</v>
      </c>
      <c r="S106" s="125">
        <v>0</v>
      </c>
      <c r="T106" s="125">
        <v>0</v>
      </c>
      <c r="U106" s="125">
        <v>0</v>
      </c>
      <c r="V106" s="125">
        <v>0</v>
      </c>
      <c r="W106" s="125">
        <v>0</v>
      </c>
      <c r="X106" s="125">
        <v>0</v>
      </c>
      <c r="Y106" s="125">
        <v>0</v>
      </c>
      <c r="Z106" s="125">
        <v>0</v>
      </c>
      <c r="AA106" s="125">
        <v>0</v>
      </c>
      <c r="AB106" s="125">
        <v>0</v>
      </c>
      <c r="AC106" s="125">
        <v>0</v>
      </c>
      <c r="AD106" s="125">
        <v>0</v>
      </c>
      <c r="AE106" s="125">
        <v>0</v>
      </c>
      <c r="AF106" s="56"/>
      <c r="AG106" s="63">
        <f t="shared" si="38"/>
        <v>0</v>
      </c>
      <c r="AH106" s="63"/>
      <c r="AI106" s="63">
        <f t="shared" si="39"/>
        <v>0</v>
      </c>
    </row>
    <row r="107" spans="1:75" ht="21">
      <c r="A107" s="125" t="s">
        <v>26</v>
      </c>
      <c r="B107" s="125">
        <v>0</v>
      </c>
      <c r="C107" s="125">
        <v>1</v>
      </c>
      <c r="D107" s="125">
        <v>0</v>
      </c>
      <c r="E107" s="125">
        <v>5</v>
      </c>
      <c r="F107" s="125">
        <v>1</v>
      </c>
      <c r="G107" s="125">
        <v>1</v>
      </c>
      <c r="H107" s="125">
        <v>0</v>
      </c>
      <c r="I107" s="125">
        <v>0</v>
      </c>
      <c r="J107" s="125">
        <v>0</v>
      </c>
      <c r="K107" s="125">
        <v>0</v>
      </c>
      <c r="L107" s="125">
        <v>0</v>
      </c>
      <c r="M107" s="125">
        <v>0</v>
      </c>
      <c r="N107" s="125">
        <v>1</v>
      </c>
      <c r="O107" s="125">
        <v>0</v>
      </c>
      <c r="P107" s="125">
        <v>0</v>
      </c>
      <c r="Q107" s="125">
        <v>1</v>
      </c>
      <c r="R107" s="125">
        <v>1</v>
      </c>
      <c r="S107" s="125">
        <v>0</v>
      </c>
      <c r="T107" s="125">
        <v>0</v>
      </c>
      <c r="U107" s="125">
        <v>0</v>
      </c>
      <c r="V107" s="125">
        <v>0</v>
      </c>
      <c r="W107" s="125">
        <v>0</v>
      </c>
      <c r="X107" s="125">
        <v>0</v>
      </c>
      <c r="Y107" s="125">
        <v>0</v>
      </c>
      <c r="Z107" s="125">
        <v>0</v>
      </c>
      <c r="AA107" s="125">
        <v>0</v>
      </c>
      <c r="AB107" s="125">
        <v>1</v>
      </c>
      <c r="AC107" s="125">
        <v>0</v>
      </c>
      <c r="AD107" s="125">
        <v>0</v>
      </c>
      <c r="AE107" s="125">
        <v>0</v>
      </c>
      <c r="AF107" s="56"/>
      <c r="AG107" s="63">
        <f t="shared" si="38"/>
        <v>12</v>
      </c>
      <c r="AH107" s="63"/>
      <c r="AI107" s="63">
        <f t="shared" si="39"/>
        <v>12</v>
      </c>
    </row>
    <row r="108" spans="1:75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8"/>
        <v>0</v>
      </c>
      <c r="AH108" s="70"/>
      <c r="AI108" s="63">
        <f t="shared" si="39"/>
        <v>0</v>
      </c>
    </row>
    <row r="109" spans="1:75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8"/>
        <v>0</v>
      </c>
      <c r="AH109" s="71"/>
      <c r="AI109" s="63">
        <f t="shared" si="39"/>
        <v>0</v>
      </c>
    </row>
    <row r="110" spans="1:75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8"/>
        <v>0</v>
      </c>
      <c r="AH110" s="63"/>
      <c r="AI110" s="63">
        <f t="shared" si="39"/>
        <v>0</v>
      </c>
    </row>
  </sheetData>
  <mergeCells count="18">
    <mergeCell ref="AK14:AV15"/>
    <mergeCell ref="A1:AG1"/>
    <mergeCell ref="AK1:AV2"/>
    <mergeCell ref="AX1:BB2"/>
    <mergeCell ref="BE1:BH2"/>
    <mergeCell ref="A12:AG12"/>
    <mergeCell ref="A100:AG100"/>
    <mergeCell ref="AK16:AV17"/>
    <mergeCell ref="A23:AG23"/>
    <mergeCell ref="AY27:AZ27"/>
    <mergeCell ref="AY28:AZ28"/>
    <mergeCell ref="AY29:AZ29"/>
    <mergeCell ref="A34:AG34"/>
    <mergeCell ref="A45:AG45"/>
    <mergeCell ref="A56:AG56"/>
    <mergeCell ref="A67:AG67"/>
    <mergeCell ref="A78:AG78"/>
    <mergeCell ref="A89:AG89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E87D-BF00-47FD-AB94-C61A30EA63A5}">
  <dimension ref="A1:BW118"/>
  <sheetViews>
    <sheetView showGridLines="0" zoomScale="50" zoomScaleNormal="50" workbookViewId="0">
      <pane xSplit="1" topLeftCell="AG1" activePane="topRight" state="frozen"/>
      <selection pane="topRight" activeCell="AU33" sqref="AU33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5" width="24.28515625" style="3" customWidth="1"/>
    <col min="46" max="46" width="30.42578125" style="3" customWidth="1"/>
    <col min="47" max="47" width="21.140625" style="3" customWidth="1"/>
    <col min="48" max="48" width="10.5703125" style="3" customWidth="1"/>
    <col min="50" max="50" width="33.5703125" customWidth="1"/>
    <col min="51" max="52" width="28.7109375" customWidth="1"/>
    <col min="53" max="53" width="29.85546875" customWidth="1"/>
    <col min="54" max="54" width="17" customWidth="1"/>
    <col min="57" max="57" width="14.140625" style="2" customWidth="1"/>
    <col min="58" max="58" width="17.7109375" style="2" customWidth="1"/>
    <col min="59" max="59" width="25.42578125" style="2" customWidth="1"/>
    <col min="60" max="60" width="26.5703125" style="2" customWidth="1"/>
  </cols>
  <sheetData>
    <row r="1" spans="1:60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139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3"/>
      <c r="AX1" s="257" t="s">
        <v>1</v>
      </c>
      <c r="AY1" s="258"/>
      <c r="AZ1" s="258"/>
      <c r="BA1" s="258"/>
      <c r="BB1" s="259"/>
      <c r="BE1" s="263"/>
      <c r="BF1" s="263"/>
      <c r="BG1" s="263"/>
      <c r="BH1" s="263"/>
    </row>
    <row r="2" spans="1:60" s="1" customFormat="1" ht="23.25" customHeight="1" thickBot="1">
      <c r="A2" s="53"/>
      <c r="B2" s="54">
        <v>45689</v>
      </c>
      <c r="C2" s="54">
        <v>45690</v>
      </c>
      <c r="D2" s="54">
        <v>45691</v>
      </c>
      <c r="E2" s="54">
        <v>45692</v>
      </c>
      <c r="F2" s="54">
        <v>45693</v>
      </c>
      <c r="G2" s="54">
        <v>45694</v>
      </c>
      <c r="H2" s="54">
        <v>45695</v>
      </c>
      <c r="I2" s="54">
        <v>45696</v>
      </c>
      <c r="J2" s="54">
        <v>45697</v>
      </c>
      <c r="K2" s="54">
        <v>45698</v>
      </c>
      <c r="L2" s="54">
        <v>45699</v>
      </c>
      <c r="M2" s="54">
        <v>45700</v>
      </c>
      <c r="N2" s="54">
        <v>45701</v>
      </c>
      <c r="O2" s="54">
        <v>45702</v>
      </c>
      <c r="P2" s="54">
        <v>45703</v>
      </c>
      <c r="Q2" s="54">
        <v>45704</v>
      </c>
      <c r="R2" s="54">
        <v>45705</v>
      </c>
      <c r="S2" s="54">
        <v>45706</v>
      </c>
      <c r="T2" s="54">
        <v>45707</v>
      </c>
      <c r="U2" s="54">
        <v>45708</v>
      </c>
      <c r="V2" s="54">
        <v>45709</v>
      </c>
      <c r="W2" s="54">
        <v>45710</v>
      </c>
      <c r="X2" s="54">
        <v>45711</v>
      </c>
      <c r="Y2" s="54">
        <v>45712</v>
      </c>
      <c r="Z2" s="54">
        <v>45713</v>
      </c>
      <c r="AA2" s="54">
        <v>45714</v>
      </c>
      <c r="AB2" s="54">
        <v>45715</v>
      </c>
      <c r="AC2" s="54">
        <v>45716</v>
      </c>
      <c r="AD2" s="54"/>
      <c r="AE2" s="54"/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6"/>
      <c r="AX2" s="260"/>
      <c r="AY2" s="261"/>
      <c r="AZ2" s="261"/>
      <c r="BA2" s="261"/>
      <c r="BB2" s="262"/>
      <c r="BE2" s="263"/>
      <c r="BF2" s="263"/>
      <c r="BG2" s="263"/>
      <c r="BH2" s="263"/>
    </row>
    <row r="3" spans="1:60" ht="21.75" thickBot="1">
      <c r="A3" s="55" t="s">
        <v>5</v>
      </c>
      <c r="B3" s="56">
        <v>40</v>
      </c>
      <c r="C3" s="56">
        <v>36</v>
      </c>
      <c r="D3" s="56">
        <v>30</v>
      </c>
      <c r="E3" s="56">
        <v>33</v>
      </c>
      <c r="F3" s="56">
        <v>29</v>
      </c>
      <c r="G3" s="56">
        <v>34</v>
      </c>
      <c r="H3" s="56">
        <v>44</v>
      </c>
      <c r="I3" s="56">
        <v>52</v>
      </c>
      <c r="J3" s="56">
        <v>35</v>
      </c>
      <c r="K3" s="56">
        <v>39</v>
      </c>
      <c r="L3" s="56">
        <v>30</v>
      </c>
      <c r="M3" s="56">
        <v>33</v>
      </c>
      <c r="N3" s="56">
        <v>57</v>
      </c>
      <c r="O3" s="56">
        <v>60</v>
      </c>
      <c r="P3" s="56">
        <v>28</v>
      </c>
      <c r="Q3" s="56">
        <v>36</v>
      </c>
      <c r="R3" s="56">
        <v>27</v>
      </c>
      <c r="S3" s="56">
        <v>34</v>
      </c>
      <c r="T3" s="56">
        <v>28</v>
      </c>
      <c r="U3" s="56">
        <v>35</v>
      </c>
      <c r="V3" s="56">
        <v>55</v>
      </c>
      <c r="W3" s="56">
        <v>41</v>
      </c>
      <c r="X3" s="56">
        <v>36</v>
      </c>
      <c r="Y3" s="56">
        <v>31</v>
      </c>
      <c r="Z3" s="56">
        <v>24</v>
      </c>
      <c r="AA3" s="56">
        <v>30</v>
      </c>
      <c r="AB3" s="56">
        <v>45</v>
      </c>
      <c r="AC3" s="56">
        <v>74</v>
      </c>
      <c r="AD3" s="56"/>
      <c r="AE3" s="56"/>
      <c r="AF3" s="56"/>
      <c r="AG3" s="63">
        <f>SUM(B3:AF3)</f>
        <v>1076</v>
      </c>
      <c r="AH3" s="63"/>
      <c r="AI3" s="63">
        <f>AG3</f>
        <v>1076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14</v>
      </c>
      <c r="AU3" s="65" t="s">
        <v>15</v>
      </c>
      <c r="AV3" s="84" t="s">
        <v>2</v>
      </c>
      <c r="AX3" s="85" t="s">
        <v>16</v>
      </c>
      <c r="AY3" s="86" t="s">
        <v>17</v>
      </c>
      <c r="AZ3" s="86" t="s">
        <v>18</v>
      </c>
      <c r="BA3" s="86" t="s">
        <v>19</v>
      </c>
      <c r="BB3" s="86" t="s">
        <v>20</v>
      </c>
      <c r="BE3" s="110"/>
      <c r="BF3" s="110"/>
      <c r="BG3" s="111"/>
      <c r="BH3" s="110"/>
    </row>
    <row r="4" spans="1:60" ht="21">
      <c r="A4" s="55" t="s">
        <v>21</v>
      </c>
      <c r="B4" s="56">
        <v>21</v>
      </c>
      <c r="C4" s="56">
        <v>20</v>
      </c>
      <c r="D4" s="56">
        <v>14</v>
      </c>
      <c r="E4" s="56">
        <v>19</v>
      </c>
      <c r="F4" s="56">
        <v>17</v>
      </c>
      <c r="G4" s="56">
        <v>19</v>
      </c>
      <c r="H4" s="56">
        <v>26</v>
      </c>
      <c r="I4" s="56">
        <v>32</v>
      </c>
      <c r="J4" s="56">
        <v>16</v>
      </c>
      <c r="K4" s="56">
        <v>19</v>
      </c>
      <c r="L4" s="56">
        <v>17</v>
      </c>
      <c r="M4" s="56">
        <v>21</v>
      </c>
      <c r="N4" s="56">
        <v>32</v>
      </c>
      <c r="O4" s="56">
        <v>38</v>
      </c>
      <c r="P4" s="56">
        <v>12</v>
      </c>
      <c r="Q4" s="56">
        <v>13</v>
      </c>
      <c r="R4" s="56">
        <v>20</v>
      </c>
      <c r="S4" s="56">
        <v>17</v>
      </c>
      <c r="T4" s="56">
        <v>22</v>
      </c>
      <c r="U4" s="56">
        <v>15</v>
      </c>
      <c r="V4" s="56">
        <v>35</v>
      </c>
      <c r="W4" s="56">
        <v>23</v>
      </c>
      <c r="X4" s="56">
        <v>25</v>
      </c>
      <c r="Y4" s="56">
        <v>19</v>
      </c>
      <c r="Z4" s="56">
        <v>14</v>
      </c>
      <c r="AA4" s="56">
        <v>16</v>
      </c>
      <c r="AB4" s="56">
        <v>20</v>
      </c>
      <c r="AC4" s="56">
        <v>37</v>
      </c>
      <c r="AD4" s="56"/>
      <c r="AE4" s="56"/>
      <c r="AF4" s="56"/>
      <c r="AG4" s="63">
        <f t="shared" ref="AG4:AG11" si="0">SUM(B4:AF4)</f>
        <v>599</v>
      </c>
      <c r="AH4" s="63"/>
      <c r="AI4" s="63">
        <f>AG4+AH6+AH7+AH8</f>
        <v>599</v>
      </c>
      <c r="AK4" s="66" t="s">
        <v>5</v>
      </c>
      <c r="AL4" s="67">
        <f>AI3</f>
        <v>1076</v>
      </c>
      <c r="AM4" s="67">
        <f t="shared" ref="AM4:AM12" si="1">AI14</f>
        <v>939</v>
      </c>
      <c r="AN4" s="67">
        <f t="shared" ref="AN4:AN12" si="2">AI25</f>
        <v>861</v>
      </c>
      <c r="AO4" s="67">
        <f t="shared" ref="AO4:AO12" si="3">AI36</f>
        <v>518</v>
      </c>
      <c r="AP4" s="67">
        <f t="shared" ref="AP4:AP12" si="4">AI47</f>
        <v>920</v>
      </c>
      <c r="AQ4" s="67">
        <f t="shared" ref="AQ4:AQ12" si="5">AI58</f>
        <v>691</v>
      </c>
      <c r="AR4" s="67">
        <f t="shared" ref="AR4:AR12" si="6">AI69</f>
        <v>1067</v>
      </c>
      <c r="AS4" s="67">
        <f t="shared" ref="AS4:AS12" si="7">AI80</f>
        <v>1212</v>
      </c>
      <c r="AT4" s="67">
        <f t="shared" ref="AT4:AT12" si="8">AI91</f>
        <v>1342</v>
      </c>
      <c r="AU4" s="67">
        <f t="shared" ref="AU4:AU12" si="9">AI102</f>
        <v>1225</v>
      </c>
      <c r="AV4" s="87">
        <f>SUM(AL4:AU4)</f>
        <v>9851</v>
      </c>
      <c r="AX4" s="88">
        <v>1</v>
      </c>
      <c r="AY4" s="88" t="s">
        <v>7</v>
      </c>
      <c r="AZ4" s="88">
        <f>AL5</f>
        <v>599</v>
      </c>
      <c r="BA4" s="88">
        <f>AL7+AL9</f>
        <v>19</v>
      </c>
      <c r="BB4" s="89">
        <f>BA4/AZ4</f>
        <v>3.1719532554257093E-2</v>
      </c>
      <c r="BE4" s="112"/>
      <c r="BF4" s="112"/>
      <c r="BG4" s="113"/>
      <c r="BH4" s="112"/>
    </row>
    <row r="5" spans="1:60" ht="21">
      <c r="A5" s="55" t="s">
        <v>22</v>
      </c>
      <c r="B5" s="125">
        <v>20</v>
      </c>
      <c r="C5" s="125">
        <v>20</v>
      </c>
      <c r="D5" s="125">
        <v>14</v>
      </c>
      <c r="E5" s="125">
        <v>18</v>
      </c>
      <c r="F5" s="125">
        <v>16</v>
      </c>
      <c r="G5" s="125">
        <v>19</v>
      </c>
      <c r="H5" s="125">
        <v>26</v>
      </c>
      <c r="I5" s="125">
        <v>30</v>
      </c>
      <c r="J5" s="125">
        <v>16</v>
      </c>
      <c r="K5" s="125">
        <v>19</v>
      </c>
      <c r="L5" s="125">
        <v>16</v>
      </c>
      <c r="M5" s="125">
        <v>20</v>
      </c>
      <c r="N5" s="125">
        <v>29</v>
      </c>
      <c r="O5" s="125">
        <v>38</v>
      </c>
      <c r="P5" s="125">
        <v>12</v>
      </c>
      <c r="Q5" s="125">
        <v>12</v>
      </c>
      <c r="R5" s="125">
        <v>19</v>
      </c>
      <c r="S5" s="125">
        <v>16</v>
      </c>
      <c r="T5" s="125">
        <v>19</v>
      </c>
      <c r="U5" s="125">
        <v>15</v>
      </c>
      <c r="V5" s="125">
        <v>35</v>
      </c>
      <c r="W5" s="125">
        <v>23</v>
      </c>
      <c r="X5" s="125">
        <v>23</v>
      </c>
      <c r="Y5" s="125">
        <v>18</v>
      </c>
      <c r="Z5" s="125">
        <v>14</v>
      </c>
      <c r="AA5" s="125">
        <v>16</v>
      </c>
      <c r="AB5" s="125">
        <v>20</v>
      </c>
      <c r="AC5" s="125">
        <v>36</v>
      </c>
      <c r="AD5" s="56"/>
      <c r="AE5" s="56"/>
      <c r="AF5" s="56"/>
      <c r="AG5" s="63">
        <f t="shared" si="0"/>
        <v>579</v>
      </c>
      <c r="AH5" s="63"/>
      <c r="AI5" s="63">
        <f t="shared" ref="AI5:AI11" si="10">AG5-AH5</f>
        <v>579</v>
      </c>
      <c r="AK5" s="66" t="s">
        <v>21</v>
      </c>
      <c r="AL5" s="67">
        <f t="shared" ref="AL5:AL12" si="11">AI4</f>
        <v>599</v>
      </c>
      <c r="AM5" s="67">
        <f t="shared" si="1"/>
        <v>524</v>
      </c>
      <c r="AN5" s="67">
        <f t="shared" si="2"/>
        <v>565</v>
      </c>
      <c r="AO5" s="67">
        <f t="shared" si="3"/>
        <v>404</v>
      </c>
      <c r="AP5" s="67">
        <f t="shared" si="4"/>
        <v>577</v>
      </c>
      <c r="AQ5" s="67">
        <f t="shared" si="5"/>
        <v>409</v>
      </c>
      <c r="AR5" s="67">
        <f t="shared" si="6"/>
        <v>592</v>
      </c>
      <c r="AS5" s="67">
        <f t="shared" si="7"/>
        <v>599</v>
      </c>
      <c r="AT5" s="67">
        <f t="shared" si="8"/>
        <v>706</v>
      </c>
      <c r="AU5" s="67">
        <f t="shared" si="9"/>
        <v>628</v>
      </c>
      <c r="AV5" s="87">
        <f t="shared" ref="AV5:AV12" si="12">SUM(AL5:AU5)</f>
        <v>5603</v>
      </c>
      <c r="AX5" s="90">
        <v>2</v>
      </c>
      <c r="AY5" s="90" t="s">
        <v>8</v>
      </c>
      <c r="AZ5" s="90">
        <f>AM5</f>
        <v>524</v>
      </c>
      <c r="BA5" s="90">
        <f>AM7+AM9</f>
        <v>19</v>
      </c>
      <c r="BB5" s="89">
        <f t="shared" ref="BB5:BB13" si="13">BA5/AZ5</f>
        <v>3.6259541984732822E-2</v>
      </c>
      <c r="BE5" s="112"/>
      <c r="BF5" s="112"/>
      <c r="BG5" s="113"/>
      <c r="BH5" s="114"/>
    </row>
    <row r="6" spans="1:60" ht="21">
      <c r="A6" s="55" t="s">
        <v>23</v>
      </c>
      <c r="B6" s="125">
        <v>0</v>
      </c>
      <c r="C6" s="125">
        <v>0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1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  <c r="AD6" s="56"/>
      <c r="AE6" s="56"/>
      <c r="AF6" s="56"/>
      <c r="AG6" s="63">
        <f t="shared" si="0"/>
        <v>1</v>
      </c>
      <c r="AH6" s="63"/>
      <c r="AI6" s="63">
        <f t="shared" si="10"/>
        <v>1</v>
      </c>
      <c r="AK6" s="68" t="s">
        <v>22</v>
      </c>
      <c r="AL6" s="69">
        <f t="shared" si="11"/>
        <v>579</v>
      </c>
      <c r="AM6" s="69">
        <f t="shared" si="1"/>
        <v>505</v>
      </c>
      <c r="AN6" s="69">
        <f t="shared" si="2"/>
        <v>514</v>
      </c>
      <c r="AO6" s="69">
        <f t="shared" si="3"/>
        <v>369</v>
      </c>
      <c r="AP6" s="69">
        <f t="shared" si="4"/>
        <v>526</v>
      </c>
      <c r="AQ6" s="69">
        <f t="shared" si="5"/>
        <v>382</v>
      </c>
      <c r="AR6" s="69">
        <f t="shared" si="6"/>
        <v>540</v>
      </c>
      <c r="AS6" s="69">
        <f t="shared" si="7"/>
        <v>526</v>
      </c>
      <c r="AT6" s="69">
        <f t="shared" si="8"/>
        <v>681</v>
      </c>
      <c r="AU6" s="69">
        <f t="shared" si="9"/>
        <v>603</v>
      </c>
      <c r="AV6" s="91">
        <f t="shared" si="12"/>
        <v>5225</v>
      </c>
      <c r="AX6" s="90">
        <v>3</v>
      </c>
      <c r="AY6" s="90" t="s">
        <v>9</v>
      </c>
      <c r="AZ6" s="90">
        <f>AN5</f>
        <v>565</v>
      </c>
      <c r="BA6" s="90">
        <f>AN7+AN9</f>
        <v>45</v>
      </c>
      <c r="BB6" s="89">
        <f t="shared" si="13"/>
        <v>7.9646017699115043E-2</v>
      </c>
      <c r="BE6" s="112"/>
      <c r="BF6" s="112"/>
      <c r="BG6" s="113"/>
      <c r="BH6" s="112"/>
    </row>
    <row r="7" spans="1:60" ht="21">
      <c r="A7" s="55" t="s">
        <v>24</v>
      </c>
      <c r="B7" s="125">
        <v>0</v>
      </c>
      <c r="C7" s="125">
        <v>0</v>
      </c>
      <c r="D7" s="125">
        <v>0</v>
      </c>
      <c r="E7" s="125">
        <v>0</v>
      </c>
      <c r="F7" s="125">
        <v>0</v>
      </c>
      <c r="G7" s="125">
        <v>0</v>
      </c>
      <c r="H7" s="125">
        <v>0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1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0</v>
      </c>
      <c r="AB7" s="125">
        <v>0</v>
      </c>
      <c r="AC7" s="125">
        <v>0</v>
      </c>
      <c r="AD7" s="56"/>
      <c r="AE7" s="56"/>
      <c r="AF7" s="56"/>
      <c r="AG7" s="63">
        <f t="shared" si="0"/>
        <v>1</v>
      </c>
      <c r="AH7" s="63"/>
      <c r="AI7" s="63">
        <f t="shared" si="10"/>
        <v>1</v>
      </c>
      <c r="AK7" s="68" t="s">
        <v>23</v>
      </c>
      <c r="AL7" s="69">
        <f t="shared" si="11"/>
        <v>1</v>
      </c>
      <c r="AM7" s="69">
        <f t="shared" si="1"/>
        <v>10</v>
      </c>
      <c r="AN7" s="69">
        <f t="shared" si="2"/>
        <v>13</v>
      </c>
      <c r="AO7" s="69">
        <f t="shared" si="3"/>
        <v>11</v>
      </c>
      <c r="AP7" s="69">
        <f t="shared" si="4"/>
        <v>4</v>
      </c>
      <c r="AQ7" s="69">
        <f t="shared" si="5"/>
        <v>9</v>
      </c>
      <c r="AR7" s="69">
        <f t="shared" si="6"/>
        <v>1</v>
      </c>
      <c r="AS7" s="69">
        <f t="shared" si="7"/>
        <v>7</v>
      </c>
      <c r="AT7" s="69">
        <f t="shared" si="8"/>
        <v>3</v>
      </c>
      <c r="AU7" s="69">
        <f t="shared" si="9"/>
        <v>2</v>
      </c>
      <c r="AV7" s="91">
        <f t="shared" si="12"/>
        <v>61</v>
      </c>
      <c r="AX7" s="90">
        <v>4</v>
      </c>
      <c r="AY7" s="90" t="s">
        <v>25</v>
      </c>
      <c r="AZ7" s="90">
        <f>AO5</f>
        <v>404</v>
      </c>
      <c r="BA7" s="90">
        <f>AO7+AO9</f>
        <v>17</v>
      </c>
      <c r="BB7" s="89">
        <f t="shared" si="13"/>
        <v>4.2079207920792082E-2</v>
      </c>
      <c r="BE7" s="112"/>
      <c r="BF7" s="112"/>
      <c r="BG7" s="113"/>
      <c r="BH7" s="114"/>
    </row>
    <row r="8" spans="1:60" ht="21">
      <c r="A8" s="55" t="s">
        <v>26</v>
      </c>
      <c r="B8" s="125">
        <v>1</v>
      </c>
      <c r="C8" s="125">
        <v>0</v>
      </c>
      <c r="D8" s="125">
        <v>0</v>
      </c>
      <c r="E8" s="125">
        <v>1</v>
      </c>
      <c r="F8" s="125">
        <v>1</v>
      </c>
      <c r="G8" s="125">
        <v>0</v>
      </c>
      <c r="H8" s="125">
        <v>0</v>
      </c>
      <c r="I8" s="125">
        <v>2</v>
      </c>
      <c r="J8" s="125">
        <v>0</v>
      </c>
      <c r="K8" s="125">
        <v>0</v>
      </c>
      <c r="L8" s="125">
        <v>1</v>
      </c>
      <c r="M8" s="125">
        <v>1</v>
      </c>
      <c r="N8" s="125">
        <v>3</v>
      </c>
      <c r="O8" s="125">
        <v>0</v>
      </c>
      <c r="P8" s="125">
        <v>0</v>
      </c>
      <c r="Q8" s="125">
        <v>0</v>
      </c>
      <c r="R8" s="125">
        <v>1</v>
      </c>
      <c r="S8" s="125">
        <v>1</v>
      </c>
      <c r="T8" s="125">
        <v>3</v>
      </c>
      <c r="U8" s="125">
        <v>0</v>
      </c>
      <c r="V8" s="125">
        <v>0</v>
      </c>
      <c r="W8" s="125">
        <v>0</v>
      </c>
      <c r="X8" s="125">
        <v>1</v>
      </c>
      <c r="Y8" s="125">
        <v>1</v>
      </c>
      <c r="Z8" s="125">
        <v>0</v>
      </c>
      <c r="AA8" s="125">
        <v>0</v>
      </c>
      <c r="AB8" s="125">
        <v>0</v>
      </c>
      <c r="AC8" s="125">
        <v>1</v>
      </c>
      <c r="AD8" s="56"/>
      <c r="AE8" s="56"/>
      <c r="AF8" s="56"/>
      <c r="AG8" s="63">
        <f t="shared" si="0"/>
        <v>18</v>
      </c>
      <c r="AH8" s="63"/>
      <c r="AI8" s="63">
        <f t="shared" si="10"/>
        <v>18</v>
      </c>
      <c r="AJ8" t="s">
        <v>27</v>
      </c>
      <c r="AK8" s="68" t="s">
        <v>24</v>
      </c>
      <c r="AL8" s="69">
        <f t="shared" si="11"/>
        <v>1</v>
      </c>
      <c r="AM8" s="69">
        <f t="shared" si="1"/>
        <v>0</v>
      </c>
      <c r="AN8" s="69">
        <f t="shared" si="2"/>
        <v>6</v>
      </c>
      <c r="AO8" s="69">
        <f t="shared" si="3"/>
        <v>18</v>
      </c>
      <c r="AP8" s="69">
        <f t="shared" si="4"/>
        <v>22</v>
      </c>
      <c r="AQ8" s="69">
        <f t="shared" si="5"/>
        <v>2</v>
      </c>
      <c r="AR8" s="69">
        <f t="shared" si="6"/>
        <v>0</v>
      </c>
      <c r="AS8" s="69">
        <f t="shared" si="7"/>
        <v>0</v>
      </c>
      <c r="AT8" s="69">
        <f t="shared" si="8"/>
        <v>0</v>
      </c>
      <c r="AU8" s="69">
        <f t="shared" si="9"/>
        <v>0</v>
      </c>
      <c r="AV8" s="91">
        <f t="shared" si="12"/>
        <v>49</v>
      </c>
      <c r="AX8" s="90">
        <v>5</v>
      </c>
      <c r="AY8" s="90" t="s">
        <v>11</v>
      </c>
      <c r="AZ8" s="90">
        <f>AP5</f>
        <v>577</v>
      </c>
      <c r="BA8" s="90">
        <f>AP7+AP9</f>
        <v>29</v>
      </c>
      <c r="BB8" s="89">
        <f t="shared" si="13"/>
        <v>5.0259965337954939E-2</v>
      </c>
      <c r="BE8" s="112"/>
      <c r="BF8" s="112"/>
      <c r="BG8" s="113"/>
      <c r="BH8" s="114"/>
    </row>
    <row r="9" spans="1:60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0"/>
        <v>0</v>
      </c>
      <c r="AK9" s="68" t="s">
        <v>26</v>
      </c>
      <c r="AL9" s="69">
        <f t="shared" si="11"/>
        <v>18</v>
      </c>
      <c r="AM9" s="69">
        <f t="shared" si="1"/>
        <v>9</v>
      </c>
      <c r="AN9" s="69">
        <f t="shared" si="2"/>
        <v>32</v>
      </c>
      <c r="AO9" s="69">
        <f t="shared" si="3"/>
        <v>6</v>
      </c>
      <c r="AP9" s="69">
        <f t="shared" si="4"/>
        <v>25</v>
      </c>
      <c r="AQ9" s="69">
        <f t="shared" si="5"/>
        <v>16</v>
      </c>
      <c r="AR9" s="69">
        <f t="shared" si="6"/>
        <v>51</v>
      </c>
      <c r="AS9" s="69">
        <f t="shared" si="7"/>
        <v>66</v>
      </c>
      <c r="AT9" s="69">
        <f t="shared" si="8"/>
        <v>22</v>
      </c>
      <c r="AU9" s="69">
        <f t="shared" si="9"/>
        <v>23</v>
      </c>
      <c r="AV9" s="91">
        <f t="shared" si="12"/>
        <v>268</v>
      </c>
      <c r="AX9" s="90">
        <v>6</v>
      </c>
      <c r="AY9" s="90" t="s">
        <v>13</v>
      </c>
      <c r="AZ9" s="90">
        <f>AQ5</f>
        <v>409</v>
      </c>
      <c r="BA9" s="90">
        <f>AQ7+AQ9</f>
        <v>25</v>
      </c>
      <c r="BB9" s="89">
        <f t="shared" si="13"/>
        <v>6.1124694376528114E-2</v>
      </c>
      <c r="BE9" s="112"/>
      <c r="BF9" s="112"/>
      <c r="BG9" s="113"/>
      <c r="BH9" s="112"/>
    </row>
    <row r="10" spans="1:60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0"/>
        <v>0</v>
      </c>
      <c r="AK10" s="66" t="s">
        <v>28</v>
      </c>
      <c r="AL10" s="67">
        <f t="shared" si="11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87">
        <f t="shared" si="12"/>
        <v>0</v>
      </c>
      <c r="AX10" s="90">
        <v>7</v>
      </c>
      <c r="AY10" s="90" t="s">
        <v>125</v>
      </c>
      <c r="AZ10" s="90">
        <f>AR5</f>
        <v>592</v>
      </c>
      <c r="BA10" s="90">
        <f>AR7+AR9</f>
        <v>52</v>
      </c>
      <c r="BB10" s="89">
        <f t="shared" si="13"/>
        <v>8.7837837837837843E-2</v>
      </c>
      <c r="BE10" s="112"/>
      <c r="BF10" s="112"/>
      <c r="BG10" s="113"/>
      <c r="BH10" s="112"/>
    </row>
    <row r="11" spans="1:60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0"/>
        <v>0</v>
      </c>
      <c r="AK11" s="66" t="s">
        <v>29</v>
      </c>
      <c r="AL11" s="72">
        <f t="shared" si="11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72">
        <f t="shared" si="8"/>
        <v>0</v>
      </c>
      <c r="AU11" s="72">
        <f t="shared" si="9"/>
        <v>0</v>
      </c>
      <c r="AV11" s="92">
        <f t="shared" si="12"/>
        <v>0</v>
      </c>
      <c r="AX11" s="90">
        <v>8</v>
      </c>
      <c r="AY11" s="90" t="s">
        <v>126</v>
      </c>
      <c r="AZ11" s="90">
        <f>AS5</f>
        <v>599</v>
      </c>
      <c r="BA11" s="90">
        <f>AS7+AS9</f>
        <v>73</v>
      </c>
      <c r="BB11" s="89">
        <f t="shared" si="13"/>
        <v>0.12186978297161936</v>
      </c>
      <c r="BE11" s="112"/>
      <c r="BF11" s="112"/>
      <c r="BG11" s="113"/>
      <c r="BH11" s="112"/>
    </row>
    <row r="12" spans="1:60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1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72">
        <f t="shared" si="8"/>
        <v>0</v>
      </c>
      <c r="AU12" s="72">
        <f t="shared" si="9"/>
        <v>0</v>
      </c>
      <c r="AV12" s="92">
        <f t="shared" si="12"/>
        <v>0</v>
      </c>
      <c r="AX12" s="90">
        <v>9</v>
      </c>
      <c r="AY12" s="90" t="s">
        <v>14</v>
      </c>
      <c r="AZ12" s="90">
        <f>AT5</f>
        <v>706</v>
      </c>
      <c r="BA12" s="90">
        <f>AT7+AT9</f>
        <v>25</v>
      </c>
      <c r="BB12" s="89">
        <f t="shared" si="13"/>
        <v>3.5410764872521247E-2</v>
      </c>
      <c r="BE12" s="112"/>
      <c r="BF12" s="112"/>
      <c r="BG12" s="113"/>
      <c r="BH12" s="114"/>
    </row>
    <row r="13" spans="1:60" ht="21">
      <c r="A13" s="53"/>
      <c r="B13" s="54">
        <v>45689</v>
      </c>
      <c r="C13" s="54">
        <v>45690</v>
      </c>
      <c r="D13" s="54">
        <v>45691</v>
      </c>
      <c r="E13" s="54">
        <v>45692</v>
      </c>
      <c r="F13" s="54">
        <v>45693</v>
      </c>
      <c r="G13" s="54">
        <v>45694</v>
      </c>
      <c r="H13" s="54">
        <v>45695</v>
      </c>
      <c r="I13" s="54">
        <v>45696</v>
      </c>
      <c r="J13" s="54">
        <v>45697</v>
      </c>
      <c r="K13" s="54">
        <v>45698</v>
      </c>
      <c r="L13" s="54">
        <v>45699</v>
      </c>
      <c r="M13" s="54">
        <v>45700</v>
      </c>
      <c r="N13" s="54">
        <v>45701</v>
      </c>
      <c r="O13" s="54">
        <v>45702</v>
      </c>
      <c r="P13" s="54">
        <v>45703</v>
      </c>
      <c r="Q13" s="54">
        <v>45704</v>
      </c>
      <c r="R13" s="54">
        <v>45705</v>
      </c>
      <c r="S13" s="54">
        <v>44</v>
      </c>
      <c r="T13" s="54">
        <v>45707</v>
      </c>
      <c r="U13" s="54">
        <v>45708</v>
      </c>
      <c r="V13" s="54">
        <v>45709</v>
      </c>
      <c r="W13" s="54">
        <v>45710</v>
      </c>
      <c r="X13" s="54">
        <v>45711</v>
      </c>
      <c r="Y13" s="54">
        <v>45712</v>
      </c>
      <c r="Z13" s="54">
        <v>45713</v>
      </c>
      <c r="AA13" s="54">
        <v>45714</v>
      </c>
      <c r="AB13" s="54">
        <v>45715</v>
      </c>
      <c r="AC13" s="54">
        <v>45716</v>
      </c>
      <c r="AD13" s="54"/>
      <c r="AE13" s="54"/>
      <c r="AF13" s="54">
        <v>45657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19</v>
      </c>
      <c r="AM13" s="74">
        <f t="shared" ref="AM13:AV13" si="14">AM7+AM9</f>
        <v>19</v>
      </c>
      <c r="AN13" s="74">
        <f t="shared" si="14"/>
        <v>45</v>
      </c>
      <c r="AO13" s="74">
        <f t="shared" si="14"/>
        <v>17</v>
      </c>
      <c r="AP13" s="74">
        <f t="shared" si="14"/>
        <v>29</v>
      </c>
      <c r="AQ13" s="74">
        <f t="shared" si="14"/>
        <v>25</v>
      </c>
      <c r="AR13" s="74">
        <f t="shared" si="14"/>
        <v>52</v>
      </c>
      <c r="AS13" s="74">
        <f t="shared" si="14"/>
        <v>73</v>
      </c>
      <c r="AT13" s="74">
        <f t="shared" si="14"/>
        <v>25</v>
      </c>
      <c r="AU13" s="74">
        <f t="shared" si="14"/>
        <v>25</v>
      </c>
      <c r="AV13" s="93">
        <f t="shared" si="14"/>
        <v>329</v>
      </c>
      <c r="AX13" s="90">
        <v>10</v>
      </c>
      <c r="AY13" s="90" t="s">
        <v>15</v>
      </c>
      <c r="AZ13" s="90">
        <f>AU5</f>
        <v>628</v>
      </c>
      <c r="BA13" s="90">
        <f>AU7+AU9</f>
        <v>25</v>
      </c>
      <c r="BB13" s="89">
        <f t="shared" si="13"/>
        <v>3.9808917197452227E-2</v>
      </c>
      <c r="BE13" s="112"/>
      <c r="BF13" s="112"/>
      <c r="BG13" s="113"/>
      <c r="BH13" s="114"/>
    </row>
    <row r="14" spans="1:60" ht="21.75" thickBot="1">
      <c r="A14" s="55" t="s">
        <v>5</v>
      </c>
      <c r="B14" s="56">
        <v>45</v>
      </c>
      <c r="C14" s="56">
        <v>26</v>
      </c>
      <c r="D14" s="56">
        <v>36</v>
      </c>
      <c r="E14" s="56">
        <v>18</v>
      </c>
      <c r="F14" s="56">
        <v>18</v>
      </c>
      <c r="G14" s="56">
        <v>31</v>
      </c>
      <c r="H14" s="56">
        <v>62</v>
      </c>
      <c r="I14" s="56">
        <v>28</v>
      </c>
      <c r="J14" s="56">
        <v>24</v>
      </c>
      <c r="K14" s="56">
        <v>36</v>
      </c>
      <c r="L14" s="56">
        <v>36</v>
      </c>
      <c r="M14" s="56">
        <v>33</v>
      </c>
      <c r="N14" s="56">
        <v>28</v>
      </c>
      <c r="O14" s="56">
        <v>39</v>
      </c>
      <c r="P14" s="56">
        <v>24</v>
      </c>
      <c r="Q14" s="56">
        <v>20</v>
      </c>
      <c r="R14" s="56">
        <v>24</v>
      </c>
      <c r="S14" s="56">
        <v>27</v>
      </c>
      <c r="T14" s="56">
        <v>24</v>
      </c>
      <c r="U14" s="56">
        <v>39</v>
      </c>
      <c r="V14" s="56">
        <v>60</v>
      </c>
      <c r="W14" s="56">
        <v>25</v>
      </c>
      <c r="X14" s="56">
        <v>29</v>
      </c>
      <c r="Y14" s="56">
        <v>37</v>
      </c>
      <c r="Z14" s="56">
        <v>20</v>
      </c>
      <c r="AA14" s="56">
        <v>34</v>
      </c>
      <c r="AB14" s="56">
        <v>45</v>
      </c>
      <c r="AC14" s="56">
        <v>71</v>
      </c>
      <c r="AD14" s="56"/>
      <c r="AE14" s="56"/>
      <c r="AF14" s="56"/>
      <c r="AG14" s="63">
        <f>SUM(B14:AF14)</f>
        <v>939</v>
      </c>
      <c r="AH14" s="63"/>
      <c r="AI14" s="63">
        <f>AG14</f>
        <v>939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X14" s="63"/>
      <c r="AY14" s="63"/>
      <c r="AZ14" s="63"/>
      <c r="BA14" s="63"/>
      <c r="BB14" s="63"/>
      <c r="BE14" s="112"/>
      <c r="BF14" s="112"/>
      <c r="BG14" s="113"/>
      <c r="BH14" s="114"/>
    </row>
    <row r="15" spans="1:60" ht="21">
      <c r="A15" s="55" t="s">
        <v>21</v>
      </c>
      <c r="B15" s="56">
        <v>32</v>
      </c>
      <c r="C15" s="56">
        <v>17</v>
      </c>
      <c r="D15" s="56">
        <v>18</v>
      </c>
      <c r="E15" s="56">
        <v>9</v>
      </c>
      <c r="F15" s="56">
        <v>15</v>
      </c>
      <c r="G15" s="56">
        <v>23</v>
      </c>
      <c r="H15" s="56">
        <v>33</v>
      </c>
      <c r="I15" s="56">
        <v>15</v>
      </c>
      <c r="J15" s="56">
        <v>15</v>
      </c>
      <c r="K15" s="56">
        <v>19</v>
      </c>
      <c r="L15" s="56">
        <v>24</v>
      </c>
      <c r="M15" s="56">
        <v>20</v>
      </c>
      <c r="N15" s="56">
        <v>14</v>
      </c>
      <c r="O15" s="56">
        <v>23</v>
      </c>
      <c r="P15" s="56">
        <v>9</v>
      </c>
      <c r="Q15" s="56">
        <v>13</v>
      </c>
      <c r="R15" s="56">
        <v>12</v>
      </c>
      <c r="S15" s="56">
        <v>16</v>
      </c>
      <c r="T15" s="56">
        <v>14</v>
      </c>
      <c r="U15" s="56">
        <v>19</v>
      </c>
      <c r="V15" s="56">
        <v>36</v>
      </c>
      <c r="W15" s="56">
        <v>12</v>
      </c>
      <c r="X15" s="56">
        <v>17</v>
      </c>
      <c r="Y15" s="56">
        <v>17</v>
      </c>
      <c r="Z15" s="56">
        <v>6</v>
      </c>
      <c r="AA15" s="56">
        <v>15</v>
      </c>
      <c r="AB15" s="56">
        <v>23</v>
      </c>
      <c r="AC15" s="56">
        <v>38</v>
      </c>
      <c r="AD15" s="56"/>
      <c r="AE15" s="56"/>
      <c r="AF15" s="56"/>
      <c r="AG15" s="63">
        <f t="shared" ref="AG15:AG22" si="15">SUM(B15:AF15)</f>
        <v>524</v>
      </c>
      <c r="AH15" s="63"/>
      <c r="AI15" s="63">
        <f>AG15+AH17+AH18+AH19</f>
        <v>524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X15" s="94" t="s">
        <v>35</v>
      </c>
      <c r="AY15" s="95" t="s">
        <v>36</v>
      </c>
      <c r="AZ15" s="95" t="s">
        <v>2</v>
      </c>
      <c r="BA15" s="95" t="s">
        <v>37</v>
      </c>
      <c r="BB15" s="96" t="s">
        <v>38</v>
      </c>
      <c r="BE15" s="112"/>
      <c r="BF15" s="112"/>
      <c r="BG15" s="113"/>
      <c r="BH15" s="112"/>
    </row>
    <row r="16" spans="1:60" ht="18.75" customHeight="1">
      <c r="A16" s="55" t="s">
        <v>22</v>
      </c>
      <c r="B16" s="125">
        <v>31</v>
      </c>
      <c r="C16" s="125">
        <v>17</v>
      </c>
      <c r="D16" s="125">
        <v>17</v>
      </c>
      <c r="E16" s="125">
        <v>9</v>
      </c>
      <c r="F16" s="125">
        <v>15</v>
      </c>
      <c r="G16" s="125">
        <v>22</v>
      </c>
      <c r="H16" s="125">
        <v>31</v>
      </c>
      <c r="I16" s="125">
        <v>15</v>
      </c>
      <c r="J16" s="125">
        <v>15</v>
      </c>
      <c r="K16" s="125">
        <v>17</v>
      </c>
      <c r="L16" s="125">
        <v>23</v>
      </c>
      <c r="M16" s="125">
        <v>19</v>
      </c>
      <c r="N16" s="125">
        <v>14</v>
      </c>
      <c r="O16" s="125">
        <v>23</v>
      </c>
      <c r="P16" s="125">
        <v>9</v>
      </c>
      <c r="Q16" s="125">
        <v>13</v>
      </c>
      <c r="R16" s="125">
        <v>10</v>
      </c>
      <c r="S16" s="125">
        <v>16</v>
      </c>
      <c r="T16" s="125">
        <v>12</v>
      </c>
      <c r="U16" s="125">
        <v>18</v>
      </c>
      <c r="V16" s="125">
        <v>35</v>
      </c>
      <c r="W16" s="125">
        <v>12</v>
      </c>
      <c r="X16" s="125">
        <v>17</v>
      </c>
      <c r="Y16" s="125">
        <v>15</v>
      </c>
      <c r="Z16" s="125">
        <v>6</v>
      </c>
      <c r="AA16" s="125">
        <v>14</v>
      </c>
      <c r="AB16" s="125">
        <v>22</v>
      </c>
      <c r="AC16" s="125">
        <v>38</v>
      </c>
      <c r="AD16" s="56"/>
      <c r="AE16" s="56"/>
      <c r="AF16" s="56"/>
      <c r="AG16" s="63">
        <f t="shared" si="15"/>
        <v>505</v>
      </c>
      <c r="AH16" s="63"/>
      <c r="AI16" s="63">
        <f>AG16+AH17+AH18+AH19</f>
        <v>505</v>
      </c>
      <c r="AK16" s="265" t="s">
        <v>140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7"/>
      <c r="AX16" s="97">
        <v>100</v>
      </c>
      <c r="AY16" s="98">
        <v>0.02</v>
      </c>
      <c r="AZ16" s="63">
        <f t="shared" ref="AZ16:AZ25" si="16">AX16*AY16</f>
        <v>2</v>
      </c>
      <c r="BA16" s="63">
        <v>1</v>
      </c>
      <c r="BB16" s="99">
        <f>AZ16-BA16</f>
        <v>1</v>
      </c>
      <c r="BE16" s="112"/>
      <c r="BF16" s="112"/>
      <c r="BG16" s="113"/>
      <c r="BH16" s="114"/>
    </row>
    <row r="17" spans="1:60" ht="18.75" customHeight="1">
      <c r="A17" s="55" t="s">
        <v>23</v>
      </c>
      <c r="B17" s="125">
        <v>1</v>
      </c>
      <c r="C17" s="125">
        <v>0</v>
      </c>
      <c r="D17" s="125">
        <v>1</v>
      </c>
      <c r="E17" s="125">
        <v>0</v>
      </c>
      <c r="F17" s="125">
        <v>0</v>
      </c>
      <c r="G17" s="125">
        <v>0</v>
      </c>
      <c r="H17" s="125">
        <v>1</v>
      </c>
      <c r="I17" s="125">
        <v>0</v>
      </c>
      <c r="J17" s="125">
        <v>0</v>
      </c>
      <c r="K17" s="125">
        <v>0</v>
      </c>
      <c r="L17" s="125">
        <v>0</v>
      </c>
      <c r="M17" s="125">
        <v>1</v>
      </c>
      <c r="N17" s="125">
        <v>0</v>
      </c>
      <c r="O17" s="125">
        <v>0</v>
      </c>
      <c r="P17" s="125">
        <v>0</v>
      </c>
      <c r="Q17" s="125">
        <v>0</v>
      </c>
      <c r="R17" s="125">
        <v>0</v>
      </c>
      <c r="S17" s="125">
        <v>0</v>
      </c>
      <c r="T17" s="125">
        <v>2</v>
      </c>
      <c r="U17" s="125">
        <v>0</v>
      </c>
      <c r="V17" s="125">
        <v>1</v>
      </c>
      <c r="W17" s="125">
        <v>0</v>
      </c>
      <c r="X17" s="125">
        <v>0</v>
      </c>
      <c r="Y17" s="125">
        <v>1</v>
      </c>
      <c r="Z17" s="125">
        <v>0</v>
      </c>
      <c r="AA17" s="125">
        <v>1</v>
      </c>
      <c r="AB17" s="125">
        <v>1</v>
      </c>
      <c r="AC17" s="125">
        <v>0</v>
      </c>
      <c r="AD17" s="56"/>
      <c r="AE17" s="56"/>
      <c r="AF17" s="56"/>
      <c r="AG17" s="63">
        <f t="shared" si="15"/>
        <v>10</v>
      </c>
      <c r="AH17" s="63"/>
      <c r="AI17" s="63">
        <f t="shared" ref="AI17:AI22" si="17">AG17-AH17</f>
        <v>10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70"/>
      <c r="AX17" s="97">
        <v>200</v>
      </c>
      <c r="AY17" s="98">
        <v>0.02</v>
      </c>
      <c r="AZ17" s="63">
        <f t="shared" si="16"/>
        <v>4</v>
      </c>
      <c r="BA17" s="63">
        <v>1</v>
      </c>
      <c r="BB17" s="99">
        <f t="shared" ref="BB17:BB25" si="18">AZ17-BA17</f>
        <v>3</v>
      </c>
      <c r="BE17" s="112"/>
      <c r="BF17" s="112"/>
      <c r="BG17" s="113"/>
      <c r="BH17" s="112"/>
    </row>
    <row r="18" spans="1:60" ht="23.25">
      <c r="A18" s="55" t="s">
        <v>24</v>
      </c>
      <c r="B18" s="125">
        <v>0</v>
      </c>
      <c r="C18" s="125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0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  <c r="AD18" s="56"/>
      <c r="AE18" s="56"/>
      <c r="AF18" s="56"/>
      <c r="AG18" s="63">
        <f t="shared" si="15"/>
        <v>0</v>
      </c>
      <c r="AH18" s="63"/>
      <c r="AI18" s="63">
        <f t="shared" si="17"/>
        <v>0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76" t="s">
        <v>14</v>
      </c>
      <c r="AU18" s="76" t="s">
        <v>15</v>
      </c>
      <c r="AV18" s="100" t="s">
        <v>2</v>
      </c>
      <c r="AX18" s="97">
        <v>300</v>
      </c>
      <c r="AY18" s="98">
        <v>0.02</v>
      </c>
      <c r="AZ18" s="63">
        <f t="shared" si="16"/>
        <v>6</v>
      </c>
      <c r="BA18" s="63">
        <v>1</v>
      </c>
      <c r="BB18" s="99">
        <f t="shared" si="18"/>
        <v>5</v>
      </c>
      <c r="BE18" s="115"/>
      <c r="BF18" s="115"/>
      <c r="BG18" s="115"/>
      <c r="BH18" s="112"/>
    </row>
    <row r="19" spans="1:60" ht="23.25">
      <c r="A19" s="55" t="s">
        <v>26</v>
      </c>
      <c r="B19" s="125">
        <v>0</v>
      </c>
      <c r="C19" s="125">
        <v>0</v>
      </c>
      <c r="D19" s="125">
        <v>0</v>
      </c>
      <c r="E19" s="125">
        <v>0</v>
      </c>
      <c r="F19" s="125">
        <v>0</v>
      </c>
      <c r="G19" s="125">
        <v>1</v>
      </c>
      <c r="H19" s="125">
        <v>1</v>
      </c>
      <c r="I19" s="125">
        <v>0</v>
      </c>
      <c r="J19" s="125">
        <v>0</v>
      </c>
      <c r="K19" s="125">
        <v>2</v>
      </c>
      <c r="L19" s="125">
        <v>1</v>
      </c>
      <c r="M19" s="125">
        <v>0</v>
      </c>
      <c r="N19" s="125">
        <v>0</v>
      </c>
      <c r="O19" s="125">
        <v>0</v>
      </c>
      <c r="P19" s="125">
        <v>0</v>
      </c>
      <c r="Q19" s="125">
        <v>0</v>
      </c>
      <c r="R19" s="125">
        <v>2</v>
      </c>
      <c r="S19" s="125">
        <v>0</v>
      </c>
      <c r="T19" s="125">
        <v>0</v>
      </c>
      <c r="U19" s="125">
        <v>1</v>
      </c>
      <c r="V19" s="125">
        <v>0</v>
      </c>
      <c r="W19" s="125">
        <v>0</v>
      </c>
      <c r="X19" s="125">
        <v>0</v>
      </c>
      <c r="Y19" s="125">
        <v>1</v>
      </c>
      <c r="Z19" s="125">
        <v>0</v>
      </c>
      <c r="AA19" s="125">
        <v>0</v>
      </c>
      <c r="AB19" s="125">
        <v>0</v>
      </c>
      <c r="AC19" s="125">
        <v>0</v>
      </c>
      <c r="AD19" s="56"/>
      <c r="AE19" s="56"/>
      <c r="AF19" s="56"/>
      <c r="AG19" s="63">
        <f t="shared" si="15"/>
        <v>9</v>
      </c>
      <c r="AH19" s="63"/>
      <c r="AI19" s="63">
        <f t="shared" si="17"/>
        <v>9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101"/>
      <c r="AX19" s="97">
        <v>400</v>
      </c>
      <c r="AY19" s="98">
        <v>0.02</v>
      </c>
      <c r="AZ19" s="63">
        <f t="shared" si="16"/>
        <v>8</v>
      </c>
      <c r="BA19" s="63">
        <v>1</v>
      </c>
      <c r="BB19" s="99">
        <f t="shared" si="18"/>
        <v>7</v>
      </c>
      <c r="BE19" s="112"/>
      <c r="BF19" s="112"/>
      <c r="BG19" s="113"/>
      <c r="BH19" s="116"/>
    </row>
    <row r="20" spans="1:60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5"/>
        <v>0</v>
      </c>
      <c r="AH20" s="70"/>
      <c r="AI20" s="63">
        <f t="shared" si="17"/>
        <v>0</v>
      </c>
      <c r="AK20" s="77" t="s">
        <v>40</v>
      </c>
      <c r="AL20" s="79">
        <f>+AL5/AL4</f>
        <v>0.55669144981412644</v>
      </c>
      <c r="AM20" s="79">
        <f t="shared" ref="AM20:AV21" si="19">+AM5/AM4</f>
        <v>0.55804046858359957</v>
      </c>
      <c r="AN20" s="79">
        <f t="shared" si="19"/>
        <v>0.65621370499419285</v>
      </c>
      <c r="AO20" s="79">
        <f t="shared" si="19"/>
        <v>0.77992277992277992</v>
      </c>
      <c r="AP20" s="79">
        <f t="shared" si="19"/>
        <v>0.62717391304347825</v>
      </c>
      <c r="AQ20" s="79">
        <f t="shared" si="19"/>
        <v>0.59189580318379165</v>
      </c>
      <c r="AR20" s="79">
        <f t="shared" si="19"/>
        <v>0.55482661668228683</v>
      </c>
      <c r="AS20" s="79">
        <f t="shared" si="19"/>
        <v>0.49422442244224424</v>
      </c>
      <c r="AT20" s="79">
        <f t="shared" si="19"/>
        <v>0.52608047690014903</v>
      </c>
      <c r="AU20" s="79">
        <f t="shared" si="19"/>
        <v>0.51265306122448984</v>
      </c>
      <c r="AV20" s="102">
        <f t="shared" si="19"/>
        <v>0.56877474368084457</v>
      </c>
      <c r="AX20" s="97">
        <v>500</v>
      </c>
      <c r="AY20" s="98">
        <v>0.02</v>
      </c>
      <c r="AZ20" s="63">
        <f t="shared" si="16"/>
        <v>10</v>
      </c>
      <c r="BA20" s="63">
        <v>1</v>
      </c>
      <c r="BB20" s="99">
        <f t="shared" si="18"/>
        <v>9</v>
      </c>
      <c r="BE20" s="112"/>
      <c r="BF20" s="112"/>
      <c r="BG20" s="113"/>
      <c r="BH20" s="116"/>
    </row>
    <row r="21" spans="1:60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5"/>
        <v>0</v>
      </c>
      <c r="AH21" s="71"/>
      <c r="AI21" s="63">
        <f t="shared" si="17"/>
        <v>0</v>
      </c>
      <c r="AK21" s="77" t="s">
        <v>41</v>
      </c>
      <c r="AL21" s="79">
        <f>+AL6/AL5</f>
        <v>0.96661101836393992</v>
      </c>
      <c r="AM21" s="79">
        <f t="shared" si="19"/>
        <v>0.9637404580152672</v>
      </c>
      <c r="AN21" s="79">
        <f t="shared" si="19"/>
        <v>0.9097345132743363</v>
      </c>
      <c r="AO21" s="79">
        <f t="shared" si="19"/>
        <v>0.9133663366336634</v>
      </c>
      <c r="AP21" s="79">
        <f t="shared" si="19"/>
        <v>0.91161178509532059</v>
      </c>
      <c r="AQ21" s="79">
        <f t="shared" si="19"/>
        <v>0.93398533007334961</v>
      </c>
      <c r="AR21" s="79">
        <f t="shared" si="19"/>
        <v>0.91216216216216217</v>
      </c>
      <c r="AS21" s="79">
        <f t="shared" si="19"/>
        <v>0.87813021702838068</v>
      </c>
      <c r="AT21" s="79">
        <f t="shared" si="19"/>
        <v>0.96458923512747874</v>
      </c>
      <c r="AU21" s="79">
        <f t="shared" si="19"/>
        <v>0.96019108280254772</v>
      </c>
      <c r="AV21" s="102">
        <f t="shared" si="19"/>
        <v>0.93253614135284668</v>
      </c>
      <c r="AX21" s="97">
        <v>600</v>
      </c>
      <c r="AY21" s="98">
        <v>0.02</v>
      </c>
      <c r="AZ21" s="63">
        <f t="shared" si="16"/>
        <v>12</v>
      </c>
      <c r="BA21" s="63">
        <v>1</v>
      </c>
      <c r="BB21" s="99">
        <f t="shared" si="18"/>
        <v>11</v>
      </c>
      <c r="BE21" s="112"/>
      <c r="BF21" s="112"/>
      <c r="BG21" s="113"/>
      <c r="BH21" s="116"/>
    </row>
    <row r="22" spans="1:60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5"/>
        <v>0</v>
      </c>
      <c r="AH22" s="63"/>
      <c r="AI22" s="63">
        <f t="shared" si="17"/>
        <v>0</v>
      </c>
      <c r="AK22" s="77" t="s">
        <v>23</v>
      </c>
      <c r="AL22" s="79">
        <f>AL7/AL5</f>
        <v>1.6694490818030051E-3</v>
      </c>
      <c r="AM22" s="79">
        <f t="shared" ref="AM22:AV22" si="20">AM7/AM5</f>
        <v>1.9083969465648856E-2</v>
      </c>
      <c r="AN22" s="79">
        <f t="shared" si="20"/>
        <v>2.3008849557522124E-2</v>
      </c>
      <c r="AO22" s="79">
        <f t="shared" si="20"/>
        <v>2.7227722772277228E-2</v>
      </c>
      <c r="AP22" s="79">
        <f t="shared" si="20"/>
        <v>6.9324090121317154E-3</v>
      </c>
      <c r="AQ22" s="79">
        <f t="shared" si="20"/>
        <v>2.2004889975550123E-2</v>
      </c>
      <c r="AR22" s="79">
        <f t="shared" si="20"/>
        <v>1.6891891891891893E-3</v>
      </c>
      <c r="AS22" s="79">
        <f t="shared" si="20"/>
        <v>1.1686143572621035E-2</v>
      </c>
      <c r="AT22" s="79">
        <f t="shared" si="20"/>
        <v>4.24929178470255E-3</v>
      </c>
      <c r="AU22" s="79">
        <f t="shared" si="20"/>
        <v>3.1847133757961785E-3</v>
      </c>
      <c r="AV22" s="102">
        <f t="shared" si="20"/>
        <v>1.0887024808138497E-2</v>
      </c>
      <c r="AX22" s="97">
        <v>700</v>
      </c>
      <c r="AY22" s="98">
        <v>0.02</v>
      </c>
      <c r="AZ22" s="63">
        <f t="shared" si="16"/>
        <v>14</v>
      </c>
      <c r="BA22" s="63">
        <v>1</v>
      </c>
      <c r="BB22" s="99">
        <f t="shared" si="18"/>
        <v>13</v>
      </c>
      <c r="BE22" s="112"/>
      <c r="BF22" s="112"/>
      <c r="BG22" s="113"/>
      <c r="BH22" s="116"/>
    </row>
    <row r="23" spans="1:60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1.6694490818030051E-3</v>
      </c>
      <c r="AM23" s="79">
        <f t="shared" ref="AM23:AV23" si="21">AM8/AM5</f>
        <v>0</v>
      </c>
      <c r="AN23" s="79">
        <f t="shared" si="21"/>
        <v>1.0619469026548672E-2</v>
      </c>
      <c r="AO23" s="79">
        <f t="shared" si="21"/>
        <v>4.4554455445544552E-2</v>
      </c>
      <c r="AP23" s="79">
        <f t="shared" si="21"/>
        <v>3.8128249566724434E-2</v>
      </c>
      <c r="AQ23" s="79">
        <f t="shared" si="21"/>
        <v>4.8899755501222494E-3</v>
      </c>
      <c r="AR23" s="79">
        <f t="shared" si="21"/>
        <v>0</v>
      </c>
      <c r="AS23" s="79">
        <f t="shared" si="21"/>
        <v>0</v>
      </c>
      <c r="AT23" s="79">
        <f t="shared" si="21"/>
        <v>0</v>
      </c>
      <c r="AU23" s="79">
        <f t="shared" si="21"/>
        <v>0</v>
      </c>
      <c r="AV23" s="102">
        <f t="shared" si="21"/>
        <v>8.7453150098161705E-3</v>
      </c>
      <c r="AX23" s="97">
        <v>800</v>
      </c>
      <c r="AY23" s="98">
        <v>0.02</v>
      </c>
      <c r="AZ23" s="63">
        <f t="shared" si="16"/>
        <v>16</v>
      </c>
      <c r="BA23" s="63">
        <v>1</v>
      </c>
      <c r="BB23" s="99">
        <f t="shared" si="18"/>
        <v>15</v>
      </c>
      <c r="BE23" s="112"/>
      <c r="BF23" s="112"/>
      <c r="BG23" s="113"/>
      <c r="BH23" s="112"/>
    </row>
    <row r="24" spans="1:60" ht="23.25">
      <c r="A24" s="53"/>
      <c r="B24" s="54">
        <v>45689</v>
      </c>
      <c r="C24" s="54">
        <v>45690</v>
      </c>
      <c r="D24" s="54">
        <v>45691</v>
      </c>
      <c r="E24" s="54">
        <v>45692</v>
      </c>
      <c r="F24" s="54">
        <v>45693</v>
      </c>
      <c r="G24" s="54">
        <v>45694</v>
      </c>
      <c r="H24" s="54">
        <v>45695</v>
      </c>
      <c r="I24" s="54">
        <v>45696</v>
      </c>
      <c r="J24" s="54">
        <v>45697</v>
      </c>
      <c r="K24" s="54">
        <v>45698</v>
      </c>
      <c r="L24" s="54">
        <v>45699</v>
      </c>
      <c r="M24" s="54">
        <v>45700</v>
      </c>
      <c r="N24" s="54">
        <v>45701</v>
      </c>
      <c r="O24" s="54">
        <v>45702</v>
      </c>
      <c r="P24" s="54">
        <v>45703</v>
      </c>
      <c r="Q24" s="54">
        <v>45704</v>
      </c>
      <c r="R24" s="54">
        <v>45705</v>
      </c>
      <c r="S24" s="54">
        <v>45706</v>
      </c>
      <c r="T24" s="54">
        <v>45707</v>
      </c>
      <c r="U24" s="54">
        <v>45708</v>
      </c>
      <c r="V24" s="54">
        <v>45709</v>
      </c>
      <c r="W24" s="54">
        <v>45710</v>
      </c>
      <c r="X24" s="54">
        <v>45711</v>
      </c>
      <c r="Y24" s="54">
        <v>45712</v>
      </c>
      <c r="Z24" s="54">
        <v>45713</v>
      </c>
      <c r="AA24" s="54">
        <v>45714</v>
      </c>
      <c r="AB24" s="54">
        <v>45715</v>
      </c>
      <c r="AC24" s="54">
        <v>45716</v>
      </c>
      <c r="AD24" s="54"/>
      <c r="AE24" s="54"/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79">
        <f>AL9/AL5</f>
        <v>3.0050083472454091E-2</v>
      </c>
      <c r="AM24" s="79">
        <f t="shared" ref="AM24:AV24" si="22">AM9/AM5</f>
        <v>1.717557251908397E-2</v>
      </c>
      <c r="AN24" s="79">
        <f t="shared" si="22"/>
        <v>5.663716814159292E-2</v>
      </c>
      <c r="AO24" s="79">
        <f t="shared" si="22"/>
        <v>1.4851485148514851E-2</v>
      </c>
      <c r="AP24" s="79">
        <f t="shared" si="22"/>
        <v>4.3327556325823226E-2</v>
      </c>
      <c r="AQ24" s="79">
        <f t="shared" si="22"/>
        <v>3.9119804400977995E-2</v>
      </c>
      <c r="AR24" s="79">
        <f t="shared" si="22"/>
        <v>8.6148648648648643E-2</v>
      </c>
      <c r="AS24" s="79">
        <f t="shared" si="22"/>
        <v>0.11018363939899833</v>
      </c>
      <c r="AT24" s="79">
        <f t="shared" si="22"/>
        <v>3.1161473087818695E-2</v>
      </c>
      <c r="AU24" s="79">
        <f t="shared" si="22"/>
        <v>3.662420382165605E-2</v>
      </c>
      <c r="AV24" s="102">
        <f t="shared" si="22"/>
        <v>4.7831518829198644E-2</v>
      </c>
      <c r="AX24" s="97">
        <v>900</v>
      </c>
      <c r="AY24" s="98">
        <v>0.02</v>
      </c>
      <c r="AZ24" s="63">
        <f t="shared" si="16"/>
        <v>18</v>
      </c>
      <c r="BA24" s="63">
        <v>1</v>
      </c>
      <c r="BB24" s="99">
        <f t="shared" si="18"/>
        <v>17</v>
      </c>
      <c r="BE24" s="117"/>
      <c r="BF24" s="117"/>
      <c r="BG24" s="118"/>
      <c r="BH24" s="112"/>
    </row>
    <row r="25" spans="1:60" ht="24" thickBot="1">
      <c r="A25" s="55" t="s">
        <v>5</v>
      </c>
      <c r="B25" s="56">
        <v>41</v>
      </c>
      <c r="C25" s="56">
        <v>17</v>
      </c>
      <c r="D25" s="56">
        <v>26</v>
      </c>
      <c r="E25" s="56">
        <v>27</v>
      </c>
      <c r="F25" s="56">
        <v>33</v>
      </c>
      <c r="G25" s="56">
        <v>34</v>
      </c>
      <c r="H25" s="56">
        <v>42</v>
      </c>
      <c r="I25" s="56">
        <v>35</v>
      </c>
      <c r="J25" s="56">
        <v>25</v>
      </c>
      <c r="K25" s="56">
        <v>29</v>
      </c>
      <c r="L25" s="56">
        <v>28</v>
      </c>
      <c r="M25" s="56">
        <v>33</v>
      </c>
      <c r="N25" s="56">
        <v>41</v>
      </c>
      <c r="O25" s="56">
        <v>32</v>
      </c>
      <c r="P25" s="56">
        <v>42</v>
      </c>
      <c r="Q25" s="56">
        <v>23</v>
      </c>
      <c r="R25" s="56">
        <v>21</v>
      </c>
      <c r="S25" s="56">
        <v>30</v>
      </c>
      <c r="T25" s="56">
        <v>26</v>
      </c>
      <c r="U25" s="56">
        <v>22</v>
      </c>
      <c r="V25" s="56">
        <v>40</v>
      </c>
      <c r="W25" s="56">
        <v>33</v>
      </c>
      <c r="X25" s="56">
        <v>23</v>
      </c>
      <c r="Y25" s="56">
        <v>15</v>
      </c>
      <c r="Z25" s="56">
        <v>23</v>
      </c>
      <c r="AA25" s="56">
        <v>35</v>
      </c>
      <c r="AB25" s="56">
        <v>38</v>
      </c>
      <c r="AC25" s="56">
        <v>47</v>
      </c>
      <c r="AD25" s="56"/>
      <c r="AE25" s="56"/>
      <c r="AF25" s="56"/>
      <c r="AG25" s="63">
        <f>SUM(B25:AF25)</f>
        <v>861</v>
      </c>
      <c r="AH25" s="63"/>
      <c r="AI25" s="63">
        <f>AG25</f>
        <v>861</v>
      </c>
      <c r="AK25" s="77" t="s">
        <v>28</v>
      </c>
      <c r="AL25" s="79">
        <f t="shared" ref="AL25:AV28" si="23">AL10/AL6</f>
        <v>0</v>
      </c>
      <c r="AM25" s="79">
        <f t="shared" si="23"/>
        <v>0</v>
      </c>
      <c r="AN25" s="79">
        <f t="shared" si="23"/>
        <v>0</v>
      </c>
      <c r="AO25" s="79">
        <f t="shared" si="23"/>
        <v>0</v>
      </c>
      <c r="AP25" s="79">
        <f t="shared" si="23"/>
        <v>0</v>
      </c>
      <c r="AQ25" s="79">
        <f t="shared" si="23"/>
        <v>0</v>
      </c>
      <c r="AR25" s="79">
        <f t="shared" si="23"/>
        <v>0</v>
      </c>
      <c r="AS25" s="79">
        <f t="shared" si="23"/>
        <v>0</v>
      </c>
      <c r="AT25" s="79">
        <f t="shared" si="23"/>
        <v>0</v>
      </c>
      <c r="AU25" s="79">
        <f t="shared" si="23"/>
        <v>0</v>
      </c>
      <c r="AV25" s="102">
        <f t="shared" si="23"/>
        <v>0</v>
      </c>
      <c r="AX25" s="103">
        <v>1000</v>
      </c>
      <c r="AY25" s="104">
        <v>0.02</v>
      </c>
      <c r="AZ25" s="105">
        <f t="shared" si="16"/>
        <v>20</v>
      </c>
      <c r="BA25" s="105">
        <v>1</v>
      </c>
      <c r="BB25" s="106">
        <f t="shared" si="18"/>
        <v>19</v>
      </c>
      <c r="BE25" s="117"/>
      <c r="BF25" s="117"/>
      <c r="BG25" s="118"/>
      <c r="BH25" s="114"/>
    </row>
    <row r="26" spans="1:60" ht="24" thickBot="1">
      <c r="A26" s="55" t="s">
        <v>21</v>
      </c>
      <c r="B26" s="56">
        <v>31</v>
      </c>
      <c r="C26" s="56">
        <v>12</v>
      </c>
      <c r="D26" s="56">
        <v>18</v>
      </c>
      <c r="E26" s="56">
        <v>15</v>
      </c>
      <c r="F26" s="56">
        <v>20</v>
      </c>
      <c r="G26" s="56">
        <v>26</v>
      </c>
      <c r="H26" s="56">
        <v>27</v>
      </c>
      <c r="I26" s="56">
        <v>23</v>
      </c>
      <c r="J26" s="56">
        <v>19</v>
      </c>
      <c r="K26" s="56">
        <v>23</v>
      </c>
      <c r="L26" s="56">
        <v>19</v>
      </c>
      <c r="M26" s="56">
        <v>23</v>
      </c>
      <c r="N26" s="56">
        <v>20</v>
      </c>
      <c r="O26" s="56">
        <v>25</v>
      </c>
      <c r="P26" s="56">
        <v>25</v>
      </c>
      <c r="Q26" s="56">
        <v>13</v>
      </c>
      <c r="R26" s="56">
        <v>12</v>
      </c>
      <c r="S26" s="56">
        <v>22</v>
      </c>
      <c r="T26" s="56">
        <v>13</v>
      </c>
      <c r="U26" s="56">
        <v>12</v>
      </c>
      <c r="V26" s="56">
        <v>28</v>
      </c>
      <c r="W26" s="56">
        <v>19</v>
      </c>
      <c r="X26" s="56">
        <v>18</v>
      </c>
      <c r="Y26" s="56">
        <v>12</v>
      </c>
      <c r="Z26" s="56">
        <v>10</v>
      </c>
      <c r="AA26" s="56">
        <v>27</v>
      </c>
      <c r="AB26" s="56">
        <v>25</v>
      </c>
      <c r="AC26" s="56">
        <v>28</v>
      </c>
      <c r="AD26" s="56"/>
      <c r="AE26" s="56"/>
      <c r="AF26" s="56"/>
      <c r="AG26" s="63">
        <f t="shared" ref="AG26:AG33" si="24">SUM(B26:AF26)</f>
        <v>565</v>
      </c>
      <c r="AH26" s="63"/>
      <c r="AI26" s="63">
        <f>AG26+AH28+AH29+AH30</f>
        <v>565</v>
      </c>
      <c r="AK26" s="77" t="s">
        <v>29</v>
      </c>
      <c r="AL26" s="79">
        <f t="shared" si="23"/>
        <v>0</v>
      </c>
      <c r="AM26" s="79">
        <f t="shared" si="23"/>
        <v>0</v>
      </c>
      <c r="AN26" s="79">
        <f t="shared" si="23"/>
        <v>0</v>
      </c>
      <c r="AO26" s="79">
        <f t="shared" si="23"/>
        <v>0</v>
      </c>
      <c r="AP26" s="79">
        <f t="shared" si="23"/>
        <v>0</v>
      </c>
      <c r="AQ26" s="79">
        <f t="shared" si="23"/>
        <v>0</v>
      </c>
      <c r="AR26" s="79">
        <f t="shared" si="23"/>
        <v>0</v>
      </c>
      <c r="AS26" s="79">
        <f t="shared" si="23"/>
        <v>0</v>
      </c>
      <c r="AT26" s="79">
        <f t="shared" si="23"/>
        <v>0</v>
      </c>
      <c r="AU26" s="79">
        <f t="shared" si="23"/>
        <v>0</v>
      </c>
      <c r="AV26" s="102">
        <f t="shared" si="23"/>
        <v>0</v>
      </c>
      <c r="AX26" s="63"/>
      <c r="AY26" s="63"/>
      <c r="AZ26" s="63"/>
      <c r="BA26" s="63"/>
      <c r="BB26" s="63"/>
      <c r="BE26" s="117"/>
      <c r="BF26" s="117"/>
      <c r="BG26" s="118"/>
      <c r="BH26" s="119"/>
    </row>
    <row r="27" spans="1:60" ht="24" thickBot="1">
      <c r="A27" s="55" t="s">
        <v>22</v>
      </c>
      <c r="B27" s="125">
        <v>30</v>
      </c>
      <c r="C27" s="125">
        <v>8</v>
      </c>
      <c r="D27" s="125">
        <v>16</v>
      </c>
      <c r="E27" s="125">
        <v>14</v>
      </c>
      <c r="F27" s="125">
        <v>19</v>
      </c>
      <c r="G27" s="125">
        <v>25</v>
      </c>
      <c r="H27" s="125">
        <v>26</v>
      </c>
      <c r="I27" s="125">
        <v>20</v>
      </c>
      <c r="J27" s="125">
        <v>17</v>
      </c>
      <c r="K27" s="125">
        <v>21</v>
      </c>
      <c r="L27" s="125">
        <v>19</v>
      </c>
      <c r="M27" s="125">
        <v>22</v>
      </c>
      <c r="N27" s="125">
        <v>18</v>
      </c>
      <c r="O27" s="125">
        <v>22</v>
      </c>
      <c r="P27" s="125">
        <v>21</v>
      </c>
      <c r="Q27" s="125">
        <v>10</v>
      </c>
      <c r="R27" s="125">
        <v>11</v>
      </c>
      <c r="S27" s="125">
        <v>21</v>
      </c>
      <c r="T27" s="125">
        <v>12</v>
      </c>
      <c r="U27" s="125">
        <v>12</v>
      </c>
      <c r="V27" s="125">
        <v>24</v>
      </c>
      <c r="W27" s="125">
        <v>19</v>
      </c>
      <c r="X27" s="125">
        <v>15</v>
      </c>
      <c r="Y27" s="125">
        <v>9</v>
      </c>
      <c r="Z27" s="125">
        <v>10</v>
      </c>
      <c r="AA27" s="125">
        <v>25</v>
      </c>
      <c r="AB27" s="125">
        <v>24</v>
      </c>
      <c r="AC27" s="125">
        <v>24</v>
      </c>
      <c r="AD27" s="56"/>
      <c r="AE27" s="56"/>
      <c r="AF27" s="56"/>
      <c r="AG27" s="63">
        <f t="shared" si="24"/>
        <v>514</v>
      </c>
      <c r="AH27" s="63"/>
      <c r="AI27" s="63">
        <f>AG27+AH28+AH29+AH30</f>
        <v>514</v>
      </c>
      <c r="AK27" s="77" t="s">
        <v>31</v>
      </c>
      <c r="AL27" s="79">
        <f t="shared" si="23"/>
        <v>0</v>
      </c>
      <c r="AM27" s="79" t="e">
        <f t="shared" si="23"/>
        <v>#DIV/0!</v>
      </c>
      <c r="AN27" s="79">
        <f t="shared" si="23"/>
        <v>0</v>
      </c>
      <c r="AO27" s="79">
        <f t="shared" si="23"/>
        <v>0</v>
      </c>
      <c r="AP27" s="79">
        <f t="shared" si="23"/>
        <v>0</v>
      </c>
      <c r="AQ27" s="79">
        <f t="shared" si="23"/>
        <v>0</v>
      </c>
      <c r="AR27" s="79" t="e">
        <f t="shared" si="23"/>
        <v>#DIV/0!</v>
      </c>
      <c r="AS27" s="79" t="e">
        <f t="shared" si="23"/>
        <v>#DIV/0!</v>
      </c>
      <c r="AT27" s="79" t="e">
        <f t="shared" si="23"/>
        <v>#DIV/0!</v>
      </c>
      <c r="AU27" s="79" t="e">
        <f>AU12/AU8</f>
        <v>#DIV/0!</v>
      </c>
      <c r="AV27" s="102">
        <f>AV12/AV8</f>
        <v>0</v>
      </c>
      <c r="AX27" s="108" t="s">
        <v>44</v>
      </c>
      <c r="AY27" s="271" t="s">
        <v>45</v>
      </c>
      <c r="AZ27" s="272"/>
      <c r="BA27" s="63"/>
      <c r="BB27" s="63"/>
      <c r="BE27" s="117"/>
      <c r="BF27" s="117"/>
      <c r="BG27" s="118"/>
      <c r="BH27" s="114"/>
    </row>
    <row r="28" spans="1:60" ht="23.25">
      <c r="A28" s="55" t="s">
        <v>23</v>
      </c>
      <c r="B28" s="125">
        <v>0</v>
      </c>
      <c r="C28" s="125">
        <v>0</v>
      </c>
      <c r="D28" s="125">
        <v>1</v>
      </c>
      <c r="E28" s="125">
        <v>1</v>
      </c>
      <c r="F28" s="125">
        <v>0</v>
      </c>
      <c r="G28" s="125">
        <v>1</v>
      </c>
      <c r="H28" s="125">
        <v>0</v>
      </c>
      <c r="I28" s="125">
        <v>2</v>
      </c>
      <c r="J28" s="125">
        <v>0</v>
      </c>
      <c r="K28" s="125">
        <v>0</v>
      </c>
      <c r="L28" s="125">
        <v>0</v>
      </c>
      <c r="M28" s="125">
        <v>0</v>
      </c>
      <c r="N28" s="125">
        <v>1</v>
      </c>
      <c r="O28" s="125">
        <v>0</v>
      </c>
      <c r="P28" s="125">
        <v>1</v>
      </c>
      <c r="Q28" s="125">
        <v>1</v>
      </c>
      <c r="R28" s="125">
        <v>1</v>
      </c>
      <c r="S28" s="125">
        <v>0</v>
      </c>
      <c r="T28" s="125">
        <v>1</v>
      </c>
      <c r="U28" s="125">
        <v>0</v>
      </c>
      <c r="V28" s="125">
        <v>2</v>
      </c>
      <c r="W28" s="125">
        <v>0</v>
      </c>
      <c r="X28" s="125">
        <v>0</v>
      </c>
      <c r="Y28" s="125">
        <v>0</v>
      </c>
      <c r="Z28" s="125">
        <v>0</v>
      </c>
      <c r="AA28" s="125">
        <v>0</v>
      </c>
      <c r="AB28" s="125">
        <v>1</v>
      </c>
      <c r="AC28" s="125">
        <v>0</v>
      </c>
      <c r="AD28" s="56"/>
      <c r="AE28" s="56"/>
      <c r="AF28" s="56"/>
      <c r="AG28" s="63">
        <f t="shared" si="24"/>
        <v>13</v>
      </c>
      <c r="AH28" s="63"/>
      <c r="AI28" s="63">
        <f t="shared" ref="AI28:AI33" si="25">AG28-AH28</f>
        <v>13</v>
      </c>
      <c r="AK28" s="80" t="s">
        <v>34</v>
      </c>
      <c r="AL28" s="81">
        <f>AL13/AL9</f>
        <v>1.0555555555555556</v>
      </c>
      <c r="AM28" s="81">
        <f t="shared" si="23"/>
        <v>2.1111111111111112</v>
      </c>
      <c r="AN28" s="81">
        <f t="shared" si="23"/>
        <v>1.40625</v>
      </c>
      <c r="AO28" s="81">
        <f t="shared" si="23"/>
        <v>2.8333333333333335</v>
      </c>
      <c r="AP28" s="81">
        <f t="shared" si="23"/>
        <v>1.1599999999999999</v>
      </c>
      <c r="AQ28" s="81">
        <f t="shared" si="23"/>
        <v>1.5625</v>
      </c>
      <c r="AR28" s="81">
        <f t="shared" si="23"/>
        <v>1.0196078431372548</v>
      </c>
      <c r="AS28" s="81">
        <f t="shared" si="23"/>
        <v>1.106060606060606</v>
      </c>
      <c r="AT28" s="81">
        <f t="shared" si="23"/>
        <v>1.1363636363636365</v>
      </c>
      <c r="AU28" s="81">
        <f t="shared" si="23"/>
        <v>1.0869565217391304</v>
      </c>
      <c r="AV28" s="107">
        <f t="shared" si="23"/>
        <v>1.2276119402985075</v>
      </c>
      <c r="AX28" s="97" t="s">
        <v>46</v>
      </c>
      <c r="AY28" s="273">
        <v>100</v>
      </c>
      <c r="AZ28" s="274"/>
      <c r="BA28" s="109"/>
      <c r="BB28" s="109"/>
      <c r="BE28" s="112"/>
      <c r="BF28" s="112"/>
      <c r="BG28" s="113"/>
      <c r="BH28" s="112"/>
    </row>
    <row r="29" spans="1:60" ht="21.75" thickBot="1">
      <c r="A29" s="55" t="s">
        <v>24</v>
      </c>
      <c r="B29" s="125">
        <v>0</v>
      </c>
      <c r="C29" s="125">
        <v>3</v>
      </c>
      <c r="D29" s="125">
        <v>0</v>
      </c>
      <c r="E29" s="125">
        <v>0</v>
      </c>
      <c r="F29" s="125">
        <v>0</v>
      </c>
      <c r="G29" s="125">
        <v>0</v>
      </c>
      <c r="H29" s="125">
        <v>0</v>
      </c>
      <c r="I29" s="125">
        <v>0</v>
      </c>
      <c r="J29" s="125">
        <v>0</v>
      </c>
      <c r="K29" s="125">
        <v>0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2</v>
      </c>
      <c r="R29" s="125">
        <v>0</v>
      </c>
      <c r="S29" s="125">
        <v>1</v>
      </c>
      <c r="T29" s="125">
        <v>0</v>
      </c>
      <c r="U29" s="125">
        <v>0</v>
      </c>
      <c r="V29" s="125">
        <v>0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56"/>
      <c r="AE29" s="56"/>
      <c r="AF29" s="56"/>
      <c r="AG29" s="63">
        <f t="shared" si="24"/>
        <v>6</v>
      </c>
      <c r="AH29" s="63"/>
      <c r="AI29" s="63">
        <f t="shared" si="25"/>
        <v>6</v>
      </c>
      <c r="AR29" s="82"/>
      <c r="AS29" s="83"/>
      <c r="AT29" s="82"/>
      <c r="AU29" s="82"/>
      <c r="AX29" s="103" t="s">
        <v>47</v>
      </c>
      <c r="AY29" s="275">
        <v>50</v>
      </c>
      <c r="AZ29" s="276"/>
      <c r="BA29" s="63"/>
      <c r="BB29" s="63"/>
      <c r="BE29" s="112"/>
      <c r="BF29" s="112"/>
      <c r="BG29" s="113"/>
      <c r="BH29" s="114"/>
    </row>
    <row r="30" spans="1:60" ht="21">
      <c r="A30" s="55" t="s">
        <v>26</v>
      </c>
      <c r="B30" s="125">
        <v>1</v>
      </c>
      <c r="C30" s="125">
        <v>1</v>
      </c>
      <c r="D30" s="125">
        <v>1</v>
      </c>
      <c r="E30" s="125">
        <v>0</v>
      </c>
      <c r="F30" s="125">
        <v>1</v>
      </c>
      <c r="G30" s="125">
        <v>0</v>
      </c>
      <c r="H30" s="125">
        <v>1</v>
      </c>
      <c r="I30" s="125">
        <v>1</v>
      </c>
      <c r="J30" s="125">
        <v>2</v>
      </c>
      <c r="K30" s="125">
        <v>2</v>
      </c>
      <c r="L30" s="125">
        <v>0</v>
      </c>
      <c r="M30" s="125">
        <v>1</v>
      </c>
      <c r="N30" s="125">
        <v>1</v>
      </c>
      <c r="O30" s="125">
        <v>3</v>
      </c>
      <c r="P30" s="125">
        <v>3</v>
      </c>
      <c r="Q30" s="125">
        <v>0</v>
      </c>
      <c r="R30" s="125">
        <v>0</v>
      </c>
      <c r="S30" s="125">
        <v>0</v>
      </c>
      <c r="T30" s="125">
        <v>0</v>
      </c>
      <c r="U30" s="125">
        <v>0</v>
      </c>
      <c r="V30" s="125">
        <v>2</v>
      </c>
      <c r="W30" s="125">
        <v>0</v>
      </c>
      <c r="X30" s="125">
        <v>3</v>
      </c>
      <c r="Y30" s="125">
        <v>3</v>
      </c>
      <c r="Z30" s="125">
        <v>0</v>
      </c>
      <c r="AA30" s="125">
        <v>2</v>
      </c>
      <c r="AB30" s="125">
        <v>0</v>
      </c>
      <c r="AC30" s="125">
        <v>4</v>
      </c>
      <c r="AD30" s="56"/>
      <c r="AE30" s="56"/>
      <c r="AF30" s="56"/>
      <c r="AG30" s="63">
        <f t="shared" si="24"/>
        <v>32</v>
      </c>
      <c r="AH30" s="63"/>
      <c r="AI30" s="63">
        <f t="shared" si="25"/>
        <v>32</v>
      </c>
      <c r="AN30" s="82"/>
      <c r="BE30" s="112"/>
      <c r="BF30" s="112"/>
      <c r="BG30" s="113"/>
      <c r="BH30" s="114"/>
    </row>
    <row r="31" spans="1:60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4"/>
        <v>0</v>
      </c>
      <c r="AH31" s="70"/>
      <c r="AI31" s="63">
        <f t="shared" si="25"/>
        <v>0</v>
      </c>
      <c r="AO31" s="82"/>
      <c r="BE31" s="112"/>
      <c r="BF31" s="112"/>
      <c r="BG31" s="113"/>
      <c r="BH31" s="114"/>
    </row>
    <row r="32" spans="1:60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4"/>
        <v>0</v>
      </c>
      <c r="AH32" s="71"/>
      <c r="AI32" s="63">
        <f t="shared" si="25"/>
        <v>0</v>
      </c>
      <c r="AN32" s="82"/>
      <c r="BE32" s="112"/>
      <c r="BF32" s="112"/>
      <c r="BG32" s="113"/>
      <c r="BH32" s="112"/>
    </row>
    <row r="33" spans="1:60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4"/>
        <v>0</v>
      </c>
      <c r="AH33" s="63"/>
      <c r="AI33" s="63">
        <f t="shared" si="25"/>
        <v>0</v>
      </c>
      <c r="AM33" s="82"/>
      <c r="BE33" s="112"/>
      <c r="BF33" s="112"/>
      <c r="BG33" s="113"/>
      <c r="BH33" s="114"/>
    </row>
    <row r="34" spans="1:60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E34" s="112"/>
      <c r="BF34" s="112"/>
      <c r="BG34" s="113"/>
      <c r="BH34" s="114"/>
    </row>
    <row r="35" spans="1:60" ht="21">
      <c r="A35" s="53"/>
      <c r="B35" s="54">
        <v>45689</v>
      </c>
      <c r="C35" s="54">
        <v>45690</v>
      </c>
      <c r="D35" s="54">
        <v>45691</v>
      </c>
      <c r="E35" s="54">
        <v>45692</v>
      </c>
      <c r="F35" s="54">
        <v>45693</v>
      </c>
      <c r="G35" s="54">
        <v>45694</v>
      </c>
      <c r="H35" s="54">
        <v>45695</v>
      </c>
      <c r="I35" s="54">
        <v>45696</v>
      </c>
      <c r="J35" s="54">
        <v>45697</v>
      </c>
      <c r="K35" s="54">
        <v>45698</v>
      </c>
      <c r="L35" s="54">
        <v>45699</v>
      </c>
      <c r="M35" s="54">
        <v>45700</v>
      </c>
      <c r="N35" s="54">
        <v>45701</v>
      </c>
      <c r="O35" s="54">
        <v>45702</v>
      </c>
      <c r="P35" s="54">
        <v>45703</v>
      </c>
      <c r="Q35" s="54">
        <v>45704</v>
      </c>
      <c r="R35" s="54">
        <v>45705</v>
      </c>
      <c r="S35" s="54">
        <v>45706</v>
      </c>
      <c r="T35" s="130">
        <v>45707</v>
      </c>
      <c r="U35" s="54">
        <v>45708</v>
      </c>
      <c r="V35" s="130">
        <v>45709</v>
      </c>
      <c r="W35" s="54">
        <v>45710</v>
      </c>
      <c r="X35" s="54">
        <v>45711</v>
      </c>
      <c r="Y35" s="54">
        <v>45712</v>
      </c>
      <c r="Z35" s="54">
        <v>45713</v>
      </c>
      <c r="AA35" s="54">
        <v>45714</v>
      </c>
      <c r="AB35" s="54">
        <v>45715</v>
      </c>
      <c r="AC35" s="54">
        <v>45716</v>
      </c>
      <c r="AD35" s="54"/>
      <c r="AE35" s="54"/>
      <c r="AF35" s="54"/>
      <c r="AG35" s="61" t="s">
        <v>2</v>
      </c>
      <c r="AH35" s="61" t="s">
        <v>49</v>
      </c>
      <c r="AI35" s="62" t="s">
        <v>50</v>
      </c>
      <c r="AM35" s="82"/>
      <c r="BE35" s="112"/>
      <c r="BF35" s="112"/>
      <c r="BG35" s="113"/>
      <c r="BH35" s="116"/>
    </row>
    <row r="36" spans="1:60" ht="21">
      <c r="A36" s="55" t="s">
        <v>5</v>
      </c>
      <c r="B36" s="56">
        <v>13</v>
      </c>
      <c r="C36" s="56">
        <v>26</v>
      </c>
      <c r="D36" s="56">
        <v>7</v>
      </c>
      <c r="E36" s="56">
        <v>14</v>
      </c>
      <c r="F36" s="56">
        <v>15</v>
      </c>
      <c r="G36" s="56">
        <v>18</v>
      </c>
      <c r="H36" s="56">
        <v>21</v>
      </c>
      <c r="I36" s="56">
        <v>18</v>
      </c>
      <c r="J36" s="56">
        <v>24</v>
      </c>
      <c r="K36" s="56">
        <v>21</v>
      </c>
      <c r="L36" s="56">
        <v>18</v>
      </c>
      <c r="M36" s="56">
        <v>22</v>
      </c>
      <c r="N36" s="56">
        <v>19</v>
      </c>
      <c r="O36" s="56">
        <v>21</v>
      </c>
      <c r="P36" s="56">
        <v>10</v>
      </c>
      <c r="Q36" s="56">
        <v>27</v>
      </c>
      <c r="R36" s="56">
        <v>25</v>
      </c>
      <c r="S36" s="56">
        <v>19</v>
      </c>
      <c r="T36" s="56">
        <v>20</v>
      </c>
      <c r="U36" s="56">
        <v>21</v>
      </c>
      <c r="V36" s="56">
        <v>20</v>
      </c>
      <c r="W36" s="56">
        <v>18</v>
      </c>
      <c r="X36" s="56"/>
      <c r="Y36" s="56">
        <v>18</v>
      </c>
      <c r="Z36" s="56">
        <v>20</v>
      </c>
      <c r="AA36" s="56">
        <v>21</v>
      </c>
      <c r="AB36" s="56">
        <v>12</v>
      </c>
      <c r="AC36" s="56">
        <v>30</v>
      </c>
      <c r="AD36" s="56"/>
      <c r="AE36" s="56"/>
      <c r="AF36" s="56"/>
      <c r="AG36" s="63">
        <f>SUM(B36:AF36)</f>
        <v>518</v>
      </c>
      <c r="AH36" s="63"/>
      <c r="AI36" s="63">
        <f>AG36</f>
        <v>518</v>
      </c>
      <c r="AN36" s="82"/>
      <c r="BE36" s="112"/>
      <c r="BF36" s="112"/>
      <c r="BG36" s="113"/>
      <c r="BH36" s="116"/>
    </row>
    <row r="37" spans="1:60" ht="21">
      <c r="A37" s="55" t="s">
        <v>21</v>
      </c>
      <c r="B37" s="56">
        <v>12</v>
      </c>
      <c r="C37" s="56">
        <v>20</v>
      </c>
      <c r="D37" s="56">
        <v>5</v>
      </c>
      <c r="E37" s="56">
        <v>10</v>
      </c>
      <c r="F37" s="56">
        <v>13</v>
      </c>
      <c r="G37" s="56">
        <v>13</v>
      </c>
      <c r="H37" s="56">
        <v>17</v>
      </c>
      <c r="I37" s="56">
        <v>16</v>
      </c>
      <c r="J37" s="56">
        <v>20</v>
      </c>
      <c r="K37" s="56">
        <v>18</v>
      </c>
      <c r="L37" s="56">
        <v>12</v>
      </c>
      <c r="M37" s="56">
        <v>17</v>
      </c>
      <c r="N37" s="56">
        <v>17</v>
      </c>
      <c r="O37" s="56">
        <v>17</v>
      </c>
      <c r="P37" s="56">
        <v>7</v>
      </c>
      <c r="Q37" s="56">
        <v>22</v>
      </c>
      <c r="R37" s="56">
        <v>20</v>
      </c>
      <c r="S37" s="56">
        <v>10</v>
      </c>
      <c r="T37" s="56">
        <v>13</v>
      </c>
      <c r="U37" s="56">
        <v>18</v>
      </c>
      <c r="V37" s="56">
        <v>9</v>
      </c>
      <c r="W37" s="56">
        <v>15</v>
      </c>
      <c r="X37" s="56">
        <v>9</v>
      </c>
      <c r="Y37" s="56">
        <v>12</v>
      </c>
      <c r="Z37" s="56">
        <v>13</v>
      </c>
      <c r="AA37" s="56">
        <v>17</v>
      </c>
      <c r="AB37" s="56">
        <v>11</v>
      </c>
      <c r="AC37" s="56">
        <v>21</v>
      </c>
      <c r="AD37" s="56"/>
      <c r="AE37" s="56"/>
      <c r="AF37" s="56"/>
      <c r="AG37" s="63">
        <f t="shared" ref="AG37:AG44" si="26">SUM(B37:AF37)</f>
        <v>404</v>
      </c>
      <c r="AH37" s="63"/>
      <c r="AI37" s="63">
        <f>AG37+AH39+AH40+AH41</f>
        <v>404</v>
      </c>
      <c r="AM37" s="82"/>
      <c r="AO37" s="82"/>
      <c r="BE37" s="112"/>
      <c r="BF37" s="112"/>
      <c r="BG37" s="113"/>
      <c r="BH37" s="116"/>
    </row>
    <row r="38" spans="1:60" ht="21">
      <c r="A38" s="55" t="s">
        <v>22</v>
      </c>
      <c r="B38" s="125">
        <v>12</v>
      </c>
      <c r="C38" s="125">
        <v>17</v>
      </c>
      <c r="D38" s="125">
        <v>5</v>
      </c>
      <c r="E38" s="125">
        <v>9</v>
      </c>
      <c r="F38" s="125">
        <v>10</v>
      </c>
      <c r="G38" s="125">
        <v>13</v>
      </c>
      <c r="H38" s="125">
        <v>16</v>
      </c>
      <c r="I38" s="125">
        <v>16</v>
      </c>
      <c r="J38" s="125">
        <v>19</v>
      </c>
      <c r="K38" s="125">
        <v>15</v>
      </c>
      <c r="L38" s="125">
        <v>11</v>
      </c>
      <c r="M38" s="125">
        <v>16</v>
      </c>
      <c r="N38" s="125">
        <v>17</v>
      </c>
      <c r="O38" s="125">
        <v>17</v>
      </c>
      <c r="P38" s="125">
        <v>7</v>
      </c>
      <c r="Q38" s="125">
        <v>19</v>
      </c>
      <c r="R38" s="125">
        <v>19</v>
      </c>
      <c r="S38" s="125">
        <v>10</v>
      </c>
      <c r="T38" s="125">
        <v>10</v>
      </c>
      <c r="U38" s="125">
        <v>16</v>
      </c>
      <c r="V38" s="125">
        <v>7</v>
      </c>
      <c r="W38" s="125">
        <v>14</v>
      </c>
      <c r="X38" s="125">
        <v>9</v>
      </c>
      <c r="Y38" s="125">
        <v>11</v>
      </c>
      <c r="Z38" s="125">
        <v>11</v>
      </c>
      <c r="AA38" s="125">
        <v>15</v>
      </c>
      <c r="AB38" s="125">
        <v>11</v>
      </c>
      <c r="AC38" s="125">
        <v>17</v>
      </c>
      <c r="AD38" s="56"/>
      <c r="AE38" s="56"/>
      <c r="AF38" s="56"/>
      <c r="AG38" s="63">
        <f t="shared" si="26"/>
        <v>369</v>
      </c>
      <c r="AH38" s="63"/>
      <c r="AI38" s="63">
        <f>AG38+AH39+AH40+AH41</f>
        <v>369</v>
      </c>
      <c r="AM38" s="82"/>
      <c r="BE38" s="112"/>
      <c r="BF38" s="112"/>
      <c r="BG38" s="116"/>
      <c r="BH38" s="114"/>
    </row>
    <row r="39" spans="1:60" ht="21">
      <c r="A39" s="55" t="s">
        <v>23</v>
      </c>
      <c r="B39" s="125">
        <v>0</v>
      </c>
      <c r="C39" s="125">
        <v>0</v>
      </c>
      <c r="D39" s="125">
        <v>0</v>
      </c>
      <c r="E39" s="125">
        <v>0</v>
      </c>
      <c r="F39" s="125">
        <v>2</v>
      </c>
      <c r="G39" s="125">
        <v>0</v>
      </c>
      <c r="H39" s="125">
        <v>0</v>
      </c>
      <c r="I39" s="125">
        <v>0</v>
      </c>
      <c r="J39" s="125">
        <v>0</v>
      </c>
      <c r="K39" s="125">
        <v>1</v>
      </c>
      <c r="L39" s="125">
        <v>1</v>
      </c>
      <c r="M39" s="125">
        <v>0</v>
      </c>
      <c r="N39" s="125">
        <v>0</v>
      </c>
      <c r="O39" s="125">
        <v>0</v>
      </c>
      <c r="P39" s="125">
        <v>0</v>
      </c>
      <c r="Q39" s="125">
        <v>0</v>
      </c>
      <c r="R39" s="125">
        <v>0</v>
      </c>
      <c r="S39" s="125">
        <v>0</v>
      </c>
      <c r="T39" s="125">
        <v>2</v>
      </c>
      <c r="U39" s="125">
        <v>2</v>
      </c>
      <c r="V39" s="125">
        <v>1</v>
      </c>
      <c r="W39" s="125">
        <v>0</v>
      </c>
      <c r="X39" s="125">
        <v>0</v>
      </c>
      <c r="Y39" s="125">
        <v>0</v>
      </c>
      <c r="Z39" s="125">
        <v>0</v>
      </c>
      <c r="AA39" s="125">
        <v>0</v>
      </c>
      <c r="AB39" s="125">
        <v>0</v>
      </c>
      <c r="AC39" s="125">
        <v>2</v>
      </c>
      <c r="AD39" s="56"/>
      <c r="AE39" s="56"/>
      <c r="AF39" s="56"/>
      <c r="AG39" s="63">
        <f t="shared" si="26"/>
        <v>11</v>
      </c>
      <c r="AH39" s="63"/>
      <c r="AI39" s="63">
        <f t="shared" ref="AI39:AI44" si="27">AG39-AH39</f>
        <v>11</v>
      </c>
      <c r="AM39" s="82"/>
    </row>
    <row r="40" spans="1:60" ht="21">
      <c r="A40" s="55" t="s">
        <v>24</v>
      </c>
      <c r="B40" s="125">
        <v>0</v>
      </c>
      <c r="C40" s="125">
        <v>2</v>
      </c>
      <c r="D40" s="125">
        <v>0</v>
      </c>
      <c r="E40" s="125">
        <v>1</v>
      </c>
      <c r="F40" s="125">
        <v>1</v>
      </c>
      <c r="G40" s="125">
        <v>0</v>
      </c>
      <c r="H40" s="125">
        <v>1</v>
      </c>
      <c r="I40" s="125">
        <v>0</v>
      </c>
      <c r="J40" s="125">
        <v>1</v>
      </c>
      <c r="K40" s="125">
        <v>2</v>
      </c>
      <c r="L40" s="125">
        <v>0</v>
      </c>
      <c r="M40" s="125">
        <v>0</v>
      </c>
      <c r="N40" s="125">
        <v>0</v>
      </c>
      <c r="O40" s="125">
        <v>0</v>
      </c>
      <c r="P40" s="125">
        <v>0</v>
      </c>
      <c r="Q40" s="125">
        <v>2</v>
      </c>
      <c r="R40" s="125">
        <v>1</v>
      </c>
      <c r="S40" s="125">
        <v>0</v>
      </c>
      <c r="T40" s="125">
        <v>0</v>
      </c>
      <c r="U40" s="125">
        <v>0</v>
      </c>
      <c r="V40" s="125">
        <v>0</v>
      </c>
      <c r="W40" s="125">
        <v>0</v>
      </c>
      <c r="X40" s="125">
        <v>0</v>
      </c>
      <c r="Y40" s="125">
        <v>1</v>
      </c>
      <c r="Z40" s="125">
        <v>2</v>
      </c>
      <c r="AA40" s="125">
        <v>2</v>
      </c>
      <c r="AB40" s="125">
        <v>0</v>
      </c>
      <c r="AC40" s="125">
        <v>2</v>
      </c>
      <c r="AD40" s="56"/>
      <c r="AE40" s="56"/>
      <c r="AF40" s="56"/>
      <c r="AG40" s="63">
        <f t="shared" si="26"/>
        <v>18</v>
      </c>
      <c r="AH40" s="63"/>
      <c r="AI40" s="63">
        <f t="shared" si="27"/>
        <v>18</v>
      </c>
      <c r="AN40" s="82"/>
    </row>
    <row r="41" spans="1:60" ht="21">
      <c r="A41" s="55" t="s">
        <v>26</v>
      </c>
      <c r="B41" s="125">
        <v>0</v>
      </c>
      <c r="C41" s="125">
        <v>1</v>
      </c>
      <c r="D41" s="125">
        <v>0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0</v>
      </c>
      <c r="K41" s="125">
        <v>0</v>
      </c>
      <c r="L41" s="125">
        <v>0</v>
      </c>
      <c r="M41" s="125">
        <v>1</v>
      </c>
      <c r="N41" s="125">
        <v>0</v>
      </c>
      <c r="O41" s="125">
        <v>0</v>
      </c>
      <c r="P41" s="125">
        <v>0</v>
      </c>
      <c r="Q41" s="125">
        <v>1</v>
      </c>
      <c r="R41" s="125">
        <v>0</v>
      </c>
      <c r="S41" s="125">
        <v>0</v>
      </c>
      <c r="T41" s="125">
        <v>1</v>
      </c>
      <c r="U41" s="125">
        <v>0</v>
      </c>
      <c r="V41" s="125">
        <v>1</v>
      </c>
      <c r="W41" s="125">
        <v>1</v>
      </c>
      <c r="X41" s="125">
        <v>0</v>
      </c>
      <c r="Y41" s="125">
        <v>0</v>
      </c>
      <c r="Z41" s="125">
        <v>0</v>
      </c>
      <c r="AA41" s="125">
        <v>0</v>
      </c>
      <c r="AB41" s="125">
        <v>0</v>
      </c>
      <c r="AC41" s="125">
        <v>0</v>
      </c>
      <c r="AD41" s="56"/>
      <c r="AE41" s="56"/>
      <c r="AF41" s="56"/>
      <c r="AG41" s="63">
        <f t="shared" si="26"/>
        <v>6</v>
      </c>
      <c r="AH41" s="63"/>
      <c r="AI41" s="63">
        <f t="shared" si="27"/>
        <v>6</v>
      </c>
    </row>
    <row r="42" spans="1:60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6"/>
        <v>0</v>
      </c>
      <c r="AH42" s="70"/>
      <c r="AI42" s="63">
        <f t="shared" si="27"/>
        <v>0</v>
      </c>
    </row>
    <row r="43" spans="1:60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6"/>
        <v>0</v>
      </c>
      <c r="AH43" s="71"/>
      <c r="AI43" s="63">
        <f t="shared" si="27"/>
        <v>0</v>
      </c>
    </row>
    <row r="44" spans="1:60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6"/>
        <v>0</v>
      </c>
      <c r="AH44" s="63"/>
      <c r="AI44" s="63">
        <f t="shared" si="27"/>
        <v>0</v>
      </c>
    </row>
    <row r="45" spans="1:60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0" ht="21">
      <c r="A46" s="53"/>
      <c r="B46" s="54">
        <v>45689</v>
      </c>
      <c r="C46" s="54">
        <v>45690</v>
      </c>
      <c r="D46" s="54">
        <v>45691</v>
      </c>
      <c r="E46" s="54">
        <v>45692</v>
      </c>
      <c r="F46" s="54">
        <v>45693</v>
      </c>
      <c r="G46" s="54">
        <v>45694</v>
      </c>
      <c r="H46" s="54">
        <v>45695</v>
      </c>
      <c r="I46" s="54">
        <v>45696</v>
      </c>
      <c r="J46" s="54">
        <v>45697</v>
      </c>
      <c r="K46" s="54">
        <v>45698</v>
      </c>
      <c r="L46" s="54">
        <v>45699</v>
      </c>
      <c r="M46" s="54">
        <v>45700</v>
      </c>
      <c r="N46" s="54">
        <v>45701</v>
      </c>
      <c r="O46" s="54">
        <v>45702</v>
      </c>
      <c r="P46" s="54">
        <v>45703</v>
      </c>
      <c r="Q46" s="54">
        <v>45704</v>
      </c>
      <c r="R46" s="54">
        <v>45705</v>
      </c>
      <c r="S46" s="54">
        <v>45706</v>
      </c>
      <c r="T46" s="54">
        <v>45707</v>
      </c>
      <c r="U46" s="54">
        <v>45708</v>
      </c>
      <c r="V46" s="54">
        <v>45709</v>
      </c>
      <c r="W46" s="54">
        <v>45710</v>
      </c>
      <c r="X46" s="54">
        <v>45711</v>
      </c>
      <c r="Y46" s="54">
        <v>45712</v>
      </c>
      <c r="Z46" s="54">
        <v>45713</v>
      </c>
      <c r="AA46" s="54">
        <v>45714</v>
      </c>
      <c r="AB46" s="54">
        <v>45715</v>
      </c>
      <c r="AC46" s="54">
        <v>45716</v>
      </c>
      <c r="AD46" s="54"/>
      <c r="AE46" s="54"/>
      <c r="AF46" s="54"/>
      <c r="AG46" s="61" t="s">
        <v>2</v>
      </c>
      <c r="AH46" s="61" t="s">
        <v>3</v>
      </c>
      <c r="AI46" s="62" t="s">
        <v>52</v>
      </c>
    </row>
    <row r="47" spans="1:60" ht="21">
      <c r="A47" s="55" t="s">
        <v>5</v>
      </c>
      <c r="B47" s="56">
        <v>38</v>
      </c>
      <c r="C47" s="56">
        <v>37</v>
      </c>
      <c r="D47" s="56">
        <v>33</v>
      </c>
      <c r="E47" s="56">
        <v>50</v>
      </c>
      <c r="F47" s="56">
        <v>48</v>
      </c>
      <c r="G47" s="56">
        <v>35</v>
      </c>
      <c r="H47" s="56"/>
      <c r="I47" s="56">
        <v>26</v>
      </c>
      <c r="J47" s="56">
        <v>46</v>
      </c>
      <c r="K47" s="56">
        <v>36</v>
      </c>
      <c r="L47" s="56">
        <v>26</v>
      </c>
      <c r="M47" s="56">
        <v>36</v>
      </c>
      <c r="N47" s="56">
        <v>39</v>
      </c>
      <c r="O47" s="56">
        <v>39</v>
      </c>
      <c r="P47" s="56">
        <v>19</v>
      </c>
      <c r="Q47" s="56">
        <v>34</v>
      </c>
      <c r="R47" s="56">
        <v>29</v>
      </c>
      <c r="S47" s="56">
        <v>39</v>
      </c>
      <c r="T47" s="56">
        <v>30</v>
      </c>
      <c r="U47" s="56">
        <v>36</v>
      </c>
      <c r="V47" s="56">
        <v>26</v>
      </c>
      <c r="W47" s="56">
        <v>18</v>
      </c>
      <c r="X47" s="56">
        <v>22</v>
      </c>
      <c r="Y47" s="56">
        <v>25</v>
      </c>
      <c r="Z47" s="56">
        <v>32</v>
      </c>
      <c r="AA47" s="56">
        <v>30</v>
      </c>
      <c r="AB47" s="56">
        <v>38</v>
      </c>
      <c r="AC47" s="56">
        <v>53</v>
      </c>
      <c r="AD47" s="56"/>
      <c r="AE47" s="56"/>
      <c r="AF47" s="56"/>
      <c r="AG47" s="63">
        <f>SUM(B47:AF47)</f>
        <v>920</v>
      </c>
      <c r="AH47" s="63"/>
      <c r="AI47" s="63">
        <f>AG47</f>
        <v>920</v>
      </c>
    </row>
    <row r="48" spans="1:60" ht="21">
      <c r="A48" s="55" t="s">
        <v>21</v>
      </c>
      <c r="B48" s="56">
        <v>23</v>
      </c>
      <c r="C48" s="56">
        <v>19</v>
      </c>
      <c r="D48" s="56">
        <v>17</v>
      </c>
      <c r="E48" s="56">
        <v>31</v>
      </c>
      <c r="F48" s="56">
        <v>29</v>
      </c>
      <c r="G48" s="56">
        <v>19</v>
      </c>
      <c r="H48" s="56">
        <v>40</v>
      </c>
      <c r="I48" s="56">
        <v>14</v>
      </c>
      <c r="J48" s="56">
        <v>32</v>
      </c>
      <c r="K48" s="56">
        <v>26</v>
      </c>
      <c r="L48" s="56">
        <v>14</v>
      </c>
      <c r="M48" s="56">
        <v>22</v>
      </c>
      <c r="N48" s="56">
        <v>24</v>
      </c>
      <c r="O48" s="56">
        <v>21</v>
      </c>
      <c r="P48" s="56">
        <v>13</v>
      </c>
      <c r="Q48" s="56">
        <v>19</v>
      </c>
      <c r="R48" s="56">
        <v>17</v>
      </c>
      <c r="S48" s="56">
        <v>23</v>
      </c>
      <c r="T48" s="56">
        <v>24</v>
      </c>
      <c r="U48" s="56">
        <v>18</v>
      </c>
      <c r="V48" s="56">
        <v>13</v>
      </c>
      <c r="W48" s="56">
        <v>11</v>
      </c>
      <c r="X48" s="56">
        <v>12</v>
      </c>
      <c r="Y48" s="56">
        <v>14</v>
      </c>
      <c r="Z48" s="56">
        <v>22</v>
      </c>
      <c r="AA48" s="56">
        <v>16</v>
      </c>
      <c r="AB48" s="56">
        <v>17</v>
      </c>
      <c r="AC48" s="56">
        <v>27</v>
      </c>
      <c r="AD48" s="56"/>
      <c r="AE48" s="56"/>
      <c r="AF48" s="56"/>
      <c r="AG48" s="63">
        <f t="shared" ref="AG48:AG55" si="28">SUM(B48:AF48)</f>
        <v>577</v>
      </c>
      <c r="AH48" s="63"/>
      <c r="AI48" s="63">
        <f>AG48+AH50+AH51+AH52</f>
        <v>577</v>
      </c>
    </row>
    <row r="49" spans="1:35" ht="21">
      <c r="A49" s="55" t="s">
        <v>22</v>
      </c>
      <c r="B49" s="125">
        <v>21</v>
      </c>
      <c r="C49" s="125">
        <v>17</v>
      </c>
      <c r="D49" s="125">
        <v>17</v>
      </c>
      <c r="E49" s="125">
        <v>24</v>
      </c>
      <c r="F49" s="125">
        <v>23</v>
      </c>
      <c r="G49" s="125">
        <v>19</v>
      </c>
      <c r="H49" s="125">
        <v>39</v>
      </c>
      <c r="I49" s="125">
        <v>11</v>
      </c>
      <c r="J49" s="125">
        <v>26</v>
      </c>
      <c r="K49" s="125">
        <v>24</v>
      </c>
      <c r="L49" s="125">
        <v>12</v>
      </c>
      <c r="M49" s="125">
        <v>18</v>
      </c>
      <c r="N49" s="125">
        <v>24</v>
      </c>
      <c r="O49" s="125">
        <v>21</v>
      </c>
      <c r="P49" s="125">
        <v>12</v>
      </c>
      <c r="Q49" s="125">
        <v>18</v>
      </c>
      <c r="R49" s="125">
        <v>16</v>
      </c>
      <c r="S49" s="125">
        <v>19</v>
      </c>
      <c r="T49" s="125">
        <v>20</v>
      </c>
      <c r="U49" s="125">
        <v>18</v>
      </c>
      <c r="V49" s="125">
        <v>13</v>
      </c>
      <c r="W49" s="125">
        <v>11</v>
      </c>
      <c r="X49" s="125">
        <v>12</v>
      </c>
      <c r="Y49" s="125">
        <v>14</v>
      </c>
      <c r="Z49" s="125">
        <v>21</v>
      </c>
      <c r="AA49" s="125">
        <v>16</v>
      </c>
      <c r="AB49" s="125">
        <v>15</v>
      </c>
      <c r="AC49" s="125">
        <v>25</v>
      </c>
      <c r="AD49" s="56"/>
      <c r="AE49" s="56"/>
      <c r="AF49" s="56"/>
      <c r="AG49" s="63">
        <f t="shared" si="28"/>
        <v>526</v>
      </c>
      <c r="AH49" s="63"/>
      <c r="AI49" s="63">
        <f>AG49+AH50+AH51+AH52</f>
        <v>526</v>
      </c>
    </row>
    <row r="50" spans="1:35" ht="21">
      <c r="A50" s="55" t="s">
        <v>23</v>
      </c>
      <c r="B50" s="125">
        <v>0</v>
      </c>
      <c r="C50" s="125">
        <v>0</v>
      </c>
      <c r="D50" s="125">
        <v>0</v>
      </c>
      <c r="E50" s="125">
        <v>0</v>
      </c>
      <c r="F50" s="125">
        <v>1</v>
      </c>
      <c r="G50" s="125">
        <v>0</v>
      </c>
      <c r="H50" s="125">
        <v>0</v>
      </c>
      <c r="I50" s="125">
        <v>0</v>
      </c>
      <c r="J50" s="125">
        <v>0</v>
      </c>
      <c r="K50" s="125">
        <v>0</v>
      </c>
      <c r="L50" s="125">
        <v>1</v>
      </c>
      <c r="M50" s="125">
        <v>1</v>
      </c>
      <c r="N50" s="125">
        <v>0</v>
      </c>
      <c r="O50" s="125">
        <v>0</v>
      </c>
      <c r="P50" s="125">
        <v>0</v>
      </c>
      <c r="Q50" s="125">
        <v>0</v>
      </c>
      <c r="R50" s="125">
        <v>0</v>
      </c>
      <c r="S50" s="125">
        <v>0</v>
      </c>
      <c r="T50" s="125">
        <v>0</v>
      </c>
      <c r="U50" s="125">
        <v>0</v>
      </c>
      <c r="V50" s="125">
        <v>0</v>
      </c>
      <c r="W50" s="125">
        <v>0</v>
      </c>
      <c r="X50" s="125">
        <v>0</v>
      </c>
      <c r="Y50" s="125">
        <v>0</v>
      </c>
      <c r="Z50" s="125">
        <v>0</v>
      </c>
      <c r="AA50" s="125">
        <v>0</v>
      </c>
      <c r="AB50" s="125">
        <v>0</v>
      </c>
      <c r="AC50" s="125">
        <v>1</v>
      </c>
      <c r="AD50" s="56"/>
      <c r="AE50" s="56"/>
      <c r="AF50" s="56"/>
      <c r="AG50" s="63">
        <f t="shared" si="28"/>
        <v>4</v>
      </c>
      <c r="AH50" s="63"/>
      <c r="AI50" s="63">
        <f t="shared" ref="AI50:AI55" si="29">AG50-AH50</f>
        <v>4</v>
      </c>
    </row>
    <row r="51" spans="1:35" ht="21">
      <c r="A51" s="55" t="s">
        <v>24</v>
      </c>
      <c r="B51" s="125">
        <v>1</v>
      </c>
      <c r="C51" s="125">
        <v>1</v>
      </c>
      <c r="D51" s="125">
        <v>0</v>
      </c>
      <c r="E51" s="125">
        <v>3</v>
      </c>
      <c r="F51" s="125">
        <v>2</v>
      </c>
      <c r="G51" s="125">
        <v>0</v>
      </c>
      <c r="H51" s="125">
        <v>0</v>
      </c>
      <c r="I51" s="125">
        <v>2</v>
      </c>
      <c r="J51" s="125">
        <v>3</v>
      </c>
      <c r="K51" s="125">
        <v>1</v>
      </c>
      <c r="L51" s="125">
        <v>0</v>
      </c>
      <c r="M51" s="125">
        <v>0</v>
      </c>
      <c r="N51" s="125">
        <v>0</v>
      </c>
      <c r="O51" s="125">
        <v>0</v>
      </c>
      <c r="P51" s="125">
        <v>1</v>
      </c>
      <c r="Q51" s="125">
        <v>1</v>
      </c>
      <c r="R51" s="125">
        <v>0</v>
      </c>
      <c r="S51" s="125">
        <v>2</v>
      </c>
      <c r="T51" s="125">
        <v>2</v>
      </c>
      <c r="U51" s="125">
        <v>0</v>
      </c>
      <c r="V51" s="125">
        <v>0</v>
      </c>
      <c r="W51" s="125">
        <v>0</v>
      </c>
      <c r="X51" s="125">
        <v>0</v>
      </c>
      <c r="Y51" s="125">
        <v>0</v>
      </c>
      <c r="Z51" s="125">
        <v>1</v>
      </c>
      <c r="AA51" s="125">
        <v>0</v>
      </c>
      <c r="AB51" s="125">
        <v>2</v>
      </c>
      <c r="AC51" s="125">
        <v>0</v>
      </c>
      <c r="AD51" s="56"/>
      <c r="AE51" s="56"/>
      <c r="AF51" s="56"/>
      <c r="AG51" s="63">
        <f t="shared" si="28"/>
        <v>22</v>
      </c>
      <c r="AH51" s="63"/>
      <c r="AI51" s="63">
        <f t="shared" si="29"/>
        <v>22</v>
      </c>
    </row>
    <row r="52" spans="1:35" ht="21">
      <c r="A52" s="55" t="s">
        <v>26</v>
      </c>
      <c r="B52" s="125">
        <v>1</v>
      </c>
      <c r="C52" s="125">
        <v>1</v>
      </c>
      <c r="D52" s="125">
        <v>0</v>
      </c>
      <c r="E52" s="125">
        <v>4</v>
      </c>
      <c r="F52" s="125">
        <v>3</v>
      </c>
      <c r="G52" s="125">
        <v>0</v>
      </c>
      <c r="H52" s="125">
        <v>1</v>
      </c>
      <c r="I52" s="125">
        <v>1</v>
      </c>
      <c r="J52" s="125">
        <v>3</v>
      </c>
      <c r="K52" s="125">
        <v>1</v>
      </c>
      <c r="L52" s="125">
        <v>1</v>
      </c>
      <c r="M52" s="125">
        <v>3</v>
      </c>
      <c r="N52" s="125">
        <v>0</v>
      </c>
      <c r="O52" s="125">
        <v>0</v>
      </c>
      <c r="P52" s="125">
        <v>0</v>
      </c>
      <c r="Q52" s="125">
        <v>0</v>
      </c>
      <c r="R52" s="125">
        <v>1</v>
      </c>
      <c r="S52" s="125">
        <v>2</v>
      </c>
      <c r="T52" s="125">
        <v>2</v>
      </c>
      <c r="U52" s="125">
        <v>0</v>
      </c>
      <c r="V52" s="125">
        <v>0</v>
      </c>
      <c r="W52" s="125">
        <v>0</v>
      </c>
      <c r="X52" s="125">
        <v>0</v>
      </c>
      <c r="Y52" s="125">
        <v>0</v>
      </c>
      <c r="Z52" s="125">
        <v>0</v>
      </c>
      <c r="AA52" s="125">
        <v>0</v>
      </c>
      <c r="AB52" s="125">
        <v>0</v>
      </c>
      <c r="AC52" s="125">
        <v>1</v>
      </c>
      <c r="AD52" s="56"/>
      <c r="AE52" s="56"/>
      <c r="AF52" s="56"/>
      <c r="AG52" s="63">
        <f t="shared" si="28"/>
        <v>25</v>
      </c>
      <c r="AH52" s="63"/>
      <c r="AI52" s="63">
        <f t="shared" si="29"/>
        <v>25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8"/>
        <v>0</v>
      </c>
      <c r="AH53" s="70"/>
      <c r="AI53" s="63">
        <f t="shared" si="29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8"/>
        <v>0</v>
      </c>
      <c r="AH54" s="71"/>
      <c r="AI54" s="63">
        <f t="shared" si="29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8"/>
        <v>0</v>
      </c>
      <c r="AH55" s="63"/>
      <c r="AI55" s="63">
        <f t="shared" si="29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45689</v>
      </c>
      <c r="C57" s="54">
        <v>45690</v>
      </c>
      <c r="D57" s="54">
        <v>45691</v>
      </c>
      <c r="E57" s="54">
        <v>45692</v>
      </c>
      <c r="F57" s="54">
        <v>45693</v>
      </c>
      <c r="G57" s="54">
        <v>45694</v>
      </c>
      <c r="H57" s="54">
        <v>45695</v>
      </c>
      <c r="I57" s="54">
        <v>45696</v>
      </c>
      <c r="J57" s="54">
        <v>45697</v>
      </c>
      <c r="K57" s="54">
        <v>45698</v>
      </c>
      <c r="L57" s="54">
        <v>45699</v>
      </c>
      <c r="M57" s="54">
        <v>45700</v>
      </c>
      <c r="N57" s="54">
        <v>45701</v>
      </c>
      <c r="O57" s="54">
        <v>45702</v>
      </c>
      <c r="P57" s="54">
        <v>45703</v>
      </c>
      <c r="Q57" s="54">
        <v>45704</v>
      </c>
      <c r="R57" s="54">
        <v>45705</v>
      </c>
      <c r="S57" s="54">
        <v>45706</v>
      </c>
      <c r="T57" s="54">
        <v>45707</v>
      </c>
      <c r="U57" s="54">
        <v>45708</v>
      </c>
      <c r="V57" s="54">
        <v>45709</v>
      </c>
      <c r="W57" s="54">
        <v>45710</v>
      </c>
      <c r="X57" s="54">
        <v>45711</v>
      </c>
      <c r="Y57" s="54">
        <v>45712</v>
      </c>
      <c r="Z57" s="54">
        <v>45713</v>
      </c>
      <c r="AA57" s="54">
        <v>45714</v>
      </c>
      <c r="AB57" s="54">
        <v>45715</v>
      </c>
      <c r="AC57" s="54">
        <v>45716</v>
      </c>
      <c r="AD57" s="54"/>
      <c r="AE57" s="54"/>
      <c r="AF57" s="54"/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36</v>
      </c>
      <c r="C58" s="56">
        <v>22</v>
      </c>
      <c r="D58" s="56">
        <v>19</v>
      </c>
      <c r="E58" s="56">
        <v>14</v>
      </c>
      <c r="F58" s="56">
        <v>19</v>
      </c>
      <c r="G58" s="56">
        <v>24</v>
      </c>
      <c r="H58" s="56">
        <v>46</v>
      </c>
      <c r="I58" s="56">
        <v>32</v>
      </c>
      <c r="J58" s="56">
        <v>15</v>
      </c>
      <c r="K58" s="56">
        <v>15</v>
      </c>
      <c r="L58" s="56">
        <v>16</v>
      </c>
      <c r="M58" s="56">
        <v>18</v>
      </c>
      <c r="N58" s="56">
        <v>23</v>
      </c>
      <c r="O58" s="56">
        <v>41</v>
      </c>
      <c r="P58" s="56">
        <v>27</v>
      </c>
      <c r="Q58" s="56">
        <v>25</v>
      </c>
      <c r="R58" s="56">
        <v>19</v>
      </c>
      <c r="S58" s="56">
        <v>13</v>
      </c>
      <c r="T58" s="56">
        <v>15</v>
      </c>
      <c r="U58" s="56">
        <v>17</v>
      </c>
      <c r="V58" s="56">
        <v>52</v>
      </c>
      <c r="W58" s="56">
        <v>16</v>
      </c>
      <c r="X58" s="56">
        <v>11</v>
      </c>
      <c r="Y58" s="56">
        <v>18</v>
      </c>
      <c r="Z58" s="56">
        <v>24</v>
      </c>
      <c r="AA58" s="56">
        <v>19</v>
      </c>
      <c r="AB58" s="56">
        <v>25</v>
      </c>
      <c r="AC58" s="56">
        <v>70</v>
      </c>
      <c r="AD58" s="56"/>
      <c r="AE58" s="56"/>
      <c r="AF58" s="56"/>
      <c r="AG58" s="63">
        <f>SUM(B58:AF58)</f>
        <v>691</v>
      </c>
      <c r="AH58" s="63"/>
      <c r="AI58" s="63">
        <f>AG58</f>
        <v>691</v>
      </c>
    </row>
    <row r="59" spans="1:35" ht="21">
      <c r="A59" s="55" t="s">
        <v>21</v>
      </c>
      <c r="B59" s="56">
        <v>20</v>
      </c>
      <c r="C59" s="56">
        <v>15</v>
      </c>
      <c r="D59" s="56">
        <v>11</v>
      </c>
      <c r="E59" s="56">
        <v>8</v>
      </c>
      <c r="F59" s="56">
        <v>11</v>
      </c>
      <c r="G59" s="56">
        <v>11</v>
      </c>
      <c r="H59" s="56">
        <v>32</v>
      </c>
      <c r="I59" s="56">
        <v>22</v>
      </c>
      <c r="J59" s="56">
        <v>10</v>
      </c>
      <c r="K59" s="56">
        <v>5</v>
      </c>
      <c r="L59" s="56">
        <v>13</v>
      </c>
      <c r="M59" s="56">
        <v>13</v>
      </c>
      <c r="N59" s="56">
        <v>14</v>
      </c>
      <c r="O59" s="56">
        <v>22</v>
      </c>
      <c r="P59" s="56">
        <v>19</v>
      </c>
      <c r="Q59" s="56">
        <v>13</v>
      </c>
      <c r="R59" s="56">
        <v>12</v>
      </c>
      <c r="S59" s="56">
        <v>7</v>
      </c>
      <c r="T59" s="56">
        <v>11</v>
      </c>
      <c r="U59" s="56">
        <v>12</v>
      </c>
      <c r="V59" s="56">
        <v>29</v>
      </c>
      <c r="W59" s="56">
        <v>7</v>
      </c>
      <c r="X59" s="56">
        <v>6</v>
      </c>
      <c r="Y59" s="56">
        <v>14</v>
      </c>
      <c r="Z59" s="56">
        <v>13</v>
      </c>
      <c r="AA59" s="56">
        <v>11</v>
      </c>
      <c r="AB59" s="56">
        <v>13</v>
      </c>
      <c r="AC59" s="56">
        <v>35</v>
      </c>
      <c r="AD59" s="56"/>
      <c r="AE59" s="56"/>
      <c r="AF59" s="56"/>
      <c r="AG59" s="63">
        <f t="shared" ref="AG59:AG66" si="30">SUM(B59:AF59)</f>
        <v>409</v>
      </c>
      <c r="AH59" s="63"/>
      <c r="AI59" s="63">
        <f>AG59+AH61+AH62+AH63</f>
        <v>409</v>
      </c>
    </row>
    <row r="60" spans="1:35" ht="21">
      <c r="A60" s="55" t="s">
        <v>22</v>
      </c>
      <c r="B60" s="125">
        <v>19</v>
      </c>
      <c r="C60" s="125">
        <v>14</v>
      </c>
      <c r="D60" s="125">
        <v>10</v>
      </c>
      <c r="E60" s="125">
        <v>8</v>
      </c>
      <c r="F60" s="125">
        <v>10</v>
      </c>
      <c r="G60" s="125">
        <v>9</v>
      </c>
      <c r="H60" s="125">
        <v>30</v>
      </c>
      <c r="I60" s="125">
        <v>21</v>
      </c>
      <c r="J60" s="125">
        <v>8</v>
      </c>
      <c r="K60" s="125">
        <v>5</v>
      </c>
      <c r="L60" s="125">
        <v>12</v>
      </c>
      <c r="M60" s="125">
        <v>13</v>
      </c>
      <c r="N60" s="125">
        <v>13</v>
      </c>
      <c r="O60" s="125">
        <v>22</v>
      </c>
      <c r="P60" s="125">
        <v>18</v>
      </c>
      <c r="Q60" s="125">
        <v>12</v>
      </c>
      <c r="R60" s="125">
        <v>10</v>
      </c>
      <c r="S60" s="125">
        <v>6</v>
      </c>
      <c r="T60" s="125">
        <v>11</v>
      </c>
      <c r="U60" s="125">
        <v>10</v>
      </c>
      <c r="V60" s="125">
        <v>27</v>
      </c>
      <c r="W60" s="125">
        <v>6</v>
      </c>
      <c r="X60" s="125">
        <v>6</v>
      </c>
      <c r="Y60" s="125">
        <v>13</v>
      </c>
      <c r="Z60" s="125">
        <v>13</v>
      </c>
      <c r="AA60" s="125">
        <v>10</v>
      </c>
      <c r="AB60" s="125">
        <v>13</v>
      </c>
      <c r="AC60" s="125">
        <v>33</v>
      </c>
      <c r="AD60" s="56"/>
      <c r="AE60" s="56"/>
      <c r="AF60" s="56"/>
      <c r="AG60" s="63">
        <f t="shared" si="30"/>
        <v>382</v>
      </c>
      <c r="AH60" s="63"/>
      <c r="AI60" s="63">
        <f>AG60+AH61+AH62+AH63</f>
        <v>382</v>
      </c>
    </row>
    <row r="61" spans="1:35" ht="21">
      <c r="A61" s="55" t="s">
        <v>23</v>
      </c>
      <c r="B61" s="125">
        <v>0</v>
      </c>
      <c r="C61" s="125">
        <v>1</v>
      </c>
      <c r="D61" s="125">
        <v>0</v>
      </c>
      <c r="E61" s="125">
        <v>0</v>
      </c>
      <c r="F61" s="125">
        <v>1</v>
      </c>
      <c r="G61" s="125">
        <v>0</v>
      </c>
      <c r="H61" s="125">
        <v>1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1</v>
      </c>
      <c r="R61" s="125">
        <v>1</v>
      </c>
      <c r="S61" s="125">
        <v>0</v>
      </c>
      <c r="T61" s="125">
        <v>0</v>
      </c>
      <c r="U61" s="125">
        <v>2</v>
      </c>
      <c r="V61" s="125">
        <v>0</v>
      </c>
      <c r="W61" s="125">
        <v>0</v>
      </c>
      <c r="X61" s="125">
        <v>0</v>
      </c>
      <c r="Y61" s="125">
        <v>1</v>
      </c>
      <c r="Z61" s="125">
        <v>0</v>
      </c>
      <c r="AA61" s="125">
        <v>1</v>
      </c>
      <c r="AB61" s="125">
        <v>0</v>
      </c>
      <c r="AC61" s="125">
        <v>0</v>
      </c>
      <c r="AD61" s="56"/>
      <c r="AE61" s="56"/>
      <c r="AF61" s="56"/>
      <c r="AG61" s="63">
        <f t="shared" si="30"/>
        <v>9</v>
      </c>
      <c r="AH61" s="63"/>
      <c r="AI61" s="63">
        <f t="shared" ref="AI61:AI66" si="31">AG61-AH61</f>
        <v>9</v>
      </c>
    </row>
    <row r="62" spans="1:35" ht="21">
      <c r="A62" s="55" t="s">
        <v>24</v>
      </c>
      <c r="B62" s="125">
        <v>1</v>
      </c>
      <c r="C62" s="125">
        <v>0</v>
      </c>
      <c r="D62" s="125">
        <v>0</v>
      </c>
      <c r="E62" s="125">
        <v>0</v>
      </c>
      <c r="F62" s="125">
        <v>0</v>
      </c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1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25">
        <v>0</v>
      </c>
      <c r="X62" s="125">
        <v>0</v>
      </c>
      <c r="Y62" s="125">
        <v>0</v>
      </c>
      <c r="Z62" s="125">
        <v>0</v>
      </c>
      <c r="AA62" s="125">
        <v>0</v>
      </c>
      <c r="AB62" s="125">
        <v>0</v>
      </c>
      <c r="AC62" s="125">
        <v>0</v>
      </c>
      <c r="AD62" s="56"/>
      <c r="AE62" s="56"/>
      <c r="AF62" s="56"/>
      <c r="AG62" s="63">
        <f t="shared" si="30"/>
        <v>2</v>
      </c>
      <c r="AH62" s="63"/>
      <c r="AI62" s="63">
        <f t="shared" si="31"/>
        <v>2</v>
      </c>
    </row>
    <row r="63" spans="1:35" ht="21">
      <c r="A63" s="55" t="s">
        <v>26</v>
      </c>
      <c r="B63" s="125">
        <v>0</v>
      </c>
      <c r="C63" s="125">
        <v>0</v>
      </c>
      <c r="D63" s="125">
        <v>1</v>
      </c>
      <c r="E63" s="125">
        <v>0</v>
      </c>
      <c r="F63" s="125">
        <v>0</v>
      </c>
      <c r="G63" s="125">
        <v>2</v>
      </c>
      <c r="H63" s="125">
        <v>1</v>
      </c>
      <c r="I63" s="125">
        <v>1</v>
      </c>
      <c r="J63" s="125">
        <v>2</v>
      </c>
      <c r="K63" s="125">
        <v>0</v>
      </c>
      <c r="L63" s="125">
        <v>0</v>
      </c>
      <c r="M63" s="125">
        <v>0</v>
      </c>
      <c r="N63" s="125">
        <v>1</v>
      </c>
      <c r="O63" s="125">
        <v>0</v>
      </c>
      <c r="P63" s="125">
        <v>1</v>
      </c>
      <c r="Q63" s="125">
        <v>0</v>
      </c>
      <c r="R63" s="125">
        <v>1</v>
      </c>
      <c r="S63" s="125">
        <v>1</v>
      </c>
      <c r="T63" s="125">
        <v>0</v>
      </c>
      <c r="U63" s="125">
        <v>0</v>
      </c>
      <c r="V63" s="125">
        <v>2</v>
      </c>
      <c r="W63" s="125">
        <v>1</v>
      </c>
      <c r="X63" s="125">
        <v>0</v>
      </c>
      <c r="Y63" s="125">
        <v>0</v>
      </c>
      <c r="Z63" s="125">
        <v>0</v>
      </c>
      <c r="AA63" s="125">
        <v>0</v>
      </c>
      <c r="AB63" s="125">
        <v>0</v>
      </c>
      <c r="AC63" s="125">
        <v>2</v>
      </c>
      <c r="AD63" s="56"/>
      <c r="AE63" s="56"/>
      <c r="AF63" s="56"/>
      <c r="AG63" s="63">
        <f t="shared" si="30"/>
        <v>16</v>
      </c>
      <c r="AH63" s="63"/>
      <c r="AI63" s="63">
        <f t="shared" si="31"/>
        <v>16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0"/>
        <v>0</v>
      </c>
      <c r="AH64" s="70"/>
      <c r="AI64" s="63">
        <f t="shared" si="31"/>
        <v>0</v>
      </c>
    </row>
    <row r="65" spans="1:37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0"/>
        <v>0</v>
      </c>
      <c r="AH65" s="71"/>
      <c r="AI65" s="63">
        <f t="shared" si="31"/>
        <v>0</v>
      </c>
    </row>
    <row r="66" spans="1:37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0"/>
        <v>0</v>
      </c>
      <c r="AH66" s="63"/>
      <c r="AI66" s="63">
        <f t="shared" si="31"/>
        <v>0</v>
      </c>
    </row>
    <row r="67" spans="1:37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7" ht="21">
      <c r="A68" s="53"/>
      <c r="B68" s="54">
        <v>45689</v>
      </c>
      <c r="C68" s="54">
        <v>45690</v>
      </c>
      <c r="D68" s="54">
        <v>45691</v>
      </c>
      <c r="E68" s="54">
        <v>45692</v>
      </c>
      <c r="F68" s="54">
        <v>45693</v>
      </c>
      <c r="G68" s="54">
        <v>45694</v>
      </c>
      <c r="H68" s="54">
        <v>45695</v>
      </c>
      <c r="I68" s="54">
        <v>45696</v>
      </c>
      <c r="J68" s="54">
        <v>45697</v>
      </c>
      <c r="K68" s="54">
        <v>45698</v>
      </c>
      <c r="L68" s="54">
        <v>45699</v>
      </c>
      <c r="M68" s="54">
        <v>45700</v>
      </c>
      <c r="N68" s="54">
        <v>45701</v>
      </c>
      <c r="O68" s="54">
        <v>45702</v>
      </c>
      <c r="P68" s="54">
        <v>45703</v>
      </c>
      <c r="Q68" s="54">
        <v>45704</v>
      </c>
      <c r="R68" s="54">
        <v>45705</v>
      </c>
      <c r="S68" s="54">
        <v>45706</v>
      </c>
      <c r="T68" s="54">
        <v>45707</v>
      </c>
      <c r="U68" s="54">
        <v>45708</v>
      </c>
      <c r="V68" s="54">
        <v>45709</v>
      </c>
      <c r="W68" s="54">
        <v>45710</v>
      </c>
      <c r="X68" s="54">
        <v>45711</v>
      </c>
      <c r="Y68" s="54">
        <v>45712</v>
      </c>
      <c r="Z68" s="54">
        <v>45713</v>
      </c>
      <c r="AA68" s="54">
        <v>45714</v>
      </c>
      <c r="AB68" s="54">
        <v>45715</v>
      </c>
      <c r="AC68" s="54">
        <v>45716</v>
      </c>
      <c r="AD68" s="54"/>
      <c r="AE68" s="54"/>
      <c r="AF68" s="54"/>
      <c r="AG68" s="61" t="s">
        <v>2</v>
      </c>
      <c r="AH68" s="61" t="s">
        <v>3</v>
      </c>
      <c r="AI68" s="124" t="s">
        <v>125</v>
      </c>
    </row>
    <row r="69" spans="1:37" ht="21">
      <c r="A69" s="55" t="s">
        <v>56</v>
      </c>
      <c r="B69" s="56">
        <v>42</v>
      </c>
      <c r="C69" s="56">
        <v>32</v>
      </c>
      <c r="D69" s="56">
        <v>30</v>
      </c>
      <c r="E69" s="56">
        <v>26</v>
      </c>
      <c r="F69" s="56">
        <v>22</v>
      </c>
      <c r="G69" s="56">
        <v>41</v>
      </c>
      <c r="H69" s="56">
        <v>94</v>
      </c>
      <c r="I69" s="56">
        <v>45</v>
      </c>
      <c r="J69" s="56">
        <v>20</v>
      </c>
      <c r="K69" s="56">
        <v>25</v>
      </c>
      <c r="L69" s="56">
        <v>20</v>
      </c>
      <c r="M69" s="56">
        <v>24</v>
      </c>
      <c r="N69" s="56">
        <v>37</v>
      </c>
      <c r="O69" s="56">
        <v>81</v>
      </c>
      <c r="P69" s="56">
        <v>41</v>
      </c>
      <c r="Q69" s="56">
        <v>34</v>
      </c>
      <c r="R69" s="56">
        <v>33</v>
      </c>
      <c r="S69" s="56">
        <v>17</v>
      </c>
      <c r="T69" s="56">
        <v>22</v>
      </c>
      <c r="U69" s="56">
        <v>28</v>
      </c>
      <c r="V69" s="56">
        <v>59</v>
      </c>
      <c r="W69" s="56">
        <v>34</v>
      </c>
      <c r="X69" s="56">
        <v>35</v>
      </c>
      <c r="Y69" s="56">
        <v>27</v>
      </c>
      <c r="Z69" s="56">
        <v>22</v>
      </c>
      <c r="AA69" s="56">
        <v>20</v>
      </c>
      <c r="AB69" s="56">
        <v>47</v>
      </c>
      <c r="AC69" s="56">
        <v>109</v>
      </c>
      <c r="AD69" s="56"/>
      <c r="AE69" s="56"/>
      <c r="AF69" s="56"/>
      <c r="AG69" s="63">
        <f>SUM(B69:AF69)</f>
        <v>1067</v>
      </c>
      <c r="AH69" s="63"/>
      <c r="AI69" s="63">
        <f>AG69</f>
        <v>1067</v>
      </c>
    </row>
    <row r="70" spans="1:37" ht="21">
      <c r="A70" s="55" t="s">
        <v>21</v>
      </c>
      <c r="B70" s="56">
        <v>20</v>
      </c>
      <c r="C70" s="56">
        <v>20</v>
      </c>
      <c r="D70" s="56">
        <v>16</v>
      </c>
      <c r="E70" s="56">
        <v>14</v>
      </c>
      <c r="F70" s="56">
        <v>10</v>
      </c>
      <c r="G70" s="56">
        <v>35</v>
      </c>
      <c r="H70" s="56">
        <v>57</v>
      </c>
      <c r="I70" s="56">
        <v>26</v>
      </c>
      <c r="J70" s="56">
        <v>8</v>
      </c>
      <c r="K70" s="56">
        <v>9</v>
      </c>
      <c r="L70" s="56">
        <v>15</v>
      </c>
      <c r="M70" s="56">
        <v>17</v>
      </c>
      <c r="N70" s="56">
        <v>14</v>
      </c>
      <c r="O70" s="56">
        <v>44</v>
      </c>
      <c r="P70" s="56">
        <v>20</v>
      </c>
      <c r="Q70" s="56">
        <v>19</v>
      </c>
      <c r="R70" s="56">
        <v>25</v>
      </c>
      <c r="S70" s="56">
        <v>10</v>
      </c>
      <c r="T70" s="56">
        <v>13</v>
      </c>
      <c r="U70" s="56">
        <v>15</v>
      </c>
      <c r="V70" s="56">
        <v>33</v>
      </c>
      <c r="W70" s="56">
        <v>17</v>
      </c>
      <c r="X70" s="56">
        <v>16</v>
      </c>
      <c r="Y70" s="56">
        <v>16</v>
      </c>
      <c r="Z70" s="56">
        <v>12</v>
      </c>
      <c r="AA70" s="56">
        <v>8</v>
      </c>
      <c r="AB70" s="56">
        <v>24</v>
      </c>
      <c r="AC70" s="56">
        <v>59</v>
      </c>
      <c r="AD70" s="56"/>
      <c r="AE70" s="56"/>
      <c r="AF70" s="56"/>
      <c r="AG70" s="63">
        <f t="shared" ref="AG70:AG77" si="32">SUM(B70:AF70)</f>
        <v>592</v>
      </c>
      <c r="AH70" s="63"/>
      <c r="AI70" s="63">
        <f>AG70+AH72+AH73+AH74</f>
        <v>592</v>
      </c>
    </row>
    <row r="71" spans="1:37" ht="21">
      <c r="A71" s="55" t="s">
        <v>22</v>
      </c>
      <c r="B71" s="125">
        <v>17</v>
      </c>
      <c r="C71" s="125">
        <v>17</v>
      </c>
      <c r="D71" s="125">
        <v>14</v>
      </c>
      <c r="E71" s="125">
        <v>14</v>
      </c>
      <c r="F71" s="125">
        <v>9</v>
      </c>
      <c r="G71" s="125">
        <v>32</v>
      </c>
      <c r="H71" s="125">
        <v>54</v>
      </c>
      <c r="I71" s="125">
        <v>24</v>
      </c>
      <c r="J71" s="125">
        <v>8</v>
      </c>
      <c r="K71" s="125">
        <v>9</v>
      </c>
      <c r="L71" s="125">
        <v>12</v>
      </c>
      <c r="M71" s="125">
        <v>16</v>
      </c>
      <c r="N71" s="125">
        <v>13</v>
      </c>
      <c r="O71" s="125">
        <v>42</v>
      </c>
      <c r="P71" s="125">
        <v>17</v>
      </c>
      <c r="Q71" s="125">
        <v>18</v>
      </c>
      <c r="R71" s="125">
        <v>24</v>
      </c>
      <c r="S71" s="125">
        <v>10</v>
      </c>
      <c r="T71" s="125">
        <v>13</v>
      </c>
      <c r="U71" s="125">
        <v>11</v>
      </c>
      <c r="V71" s="125">
        <v>31</v>
      </c>
      <c r="W71" s="125">
        <v>14</v>
      </c>
      <c r="X71" s="125">
        <v>16</v>
      </c>
      <c r="Y71" s="125">
        <v>13</v>
      </c>
      <c r="Z71" s="125">
        <v>11</v>
      </c>
      <c r="AA71" s="125">
        <v>7</v>
      </c>
      <c r="AB71" s="125">
        <v>23</v>
      </c>
      <c r="AC71" s="125">
        <v>51</v>
      </c>
      <c r="AD71" s="56"/>
      <c r="AE71" s="56"/>
      <c r="AF71" s="56"/>
      <c r="AG71" s="63">
        <f t="shared" si="32"/>
        <v>540</v>
      </c>
      <c r="AH71" s="63"/>
      <c r="AI71" s="63">
        <f>AG71+AH72+AH73+AH74</f>
        <v>540</v>
      </c>
      <c r="AK71">
        <v>9</v>
      </c>
    </row>
    <row r="72" spans="1:37" ht="21">
      <c r="A72" s="55" t="s">
        <v>23</v>
      </c>
      <c r="B72" s="125">
        <v>0</v>
      </c>
      <c r="C72" s="125">
        <v>0</v>
      </c>
      <c r="D72" s="125">
        <v>0</v>
      </c>
      <c r="E72" s="125">
        <v>0</v>
      </c>
      <c r="F72" s="125">
        <v>0</v>
      </c>
      <c r="G72" s="125">
        <v>1</v>
      </c>
      <c r="H72" s="125">
        <v>0</v>
      </c>
      <c r="I72" s="125">
        <v>0</v>
      </c>
      <c r="J72" s="125">
        <v>0</v>
      </c>
      <c r="K72" s="125">
        <v>0</v>
      </c>
      <c r="L72" s="125">
        <v>0</v>
      </c>
      <c r="M72" s="125">
        <v>0</v>
      </c>
      <c r="N72" s="125">
        <v>0</v>
      </c>
      <c r="O72" s="125">
        <v>0</v>
      </c>
      <c r="P72" s="125">
        <v>0</v>
      </c>
      <c r="Q72" s="125">
        <v>0</v>
      </c>
      <c r="R72" s="125">
        <v>0</v>
      </c>
      <c r="S72" s="125">
        <v>0</v>
      </c>
      <c r="T72" s="125">
        <v>0</v>
      </c>
      <c r="U72" s="125">
        <v>0</v>
      </c>
      <c r="V72" s="125">
        <v>0</v>
      </c>
      <c r="W72" s="125">
        <v>0</v>
      </c>
      <c r="X72" s="125">
        <v>0</v>
      </c>
      <c r="Y72" s="125">
        <v>0</v>
      </c>
      <c r="Z72" s="125">
        <v>0</v>
      </c>
      <c r="AA72" s="125">
        <v>0</v>
      </c>
      <c r="AB72" s="125">
        <v>0</v>
      </c>
      <c r="AC72" s="125">
        <v>0</v>
      </c>
      <c r="AD72" s="56"/>
      <c r="AE72" s="56"/>
      <c r="AF72" s="56"/>
      <c r="AG72" s="63">
        <f t="shared" si="32"/>
        <v>1</v>
      </c>
      <c r="AH72" s="63"/>
      <c r="AI72" s="63">
        <f t="shared" ref="AI72:AI77" si="33">AG72-AH72</f>
        <v>1</v>
      </c>
    </row>
    <row r="73" spans="1:37" ht="21">
      <c r="A73" s="55" t="s">
        <v>24</v>
      </c>
      <c r="B73" s="125">
        <v>0</v>
      </c>
      <c r="C73" s="125">
        <v>0</v>
      </c>
      <c r="D73" s="125">
        <v>0</v>
      </c>
      <c r="E73" s="125">
        <v>0</v>
      </c>
      <c r="F73" s="125">
        <v>0</v>
      </c>
      <c r="G73" s="125">
        <v>0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0</v>
      </c>
      <c r="Q73" s="125">
        <v>0</v>
      </c>
      <c r="R73" s="125">
        <v>0</v>
      </c>
      <c r="S73" s="125">
        <v>0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  <c r="AA73" s="125">
        <v>0</v>
      </c>
      <c r="AB73" s="125">
        <v>0</v>
      </c>
      <c r="AC73" s="125">
        <v>0</v>
      </c>
      <c r="AD73" s="56"/>
      <c r="AE73" s="56"/>
      <c r="AF73" s="56"/>
      <c r="AG73" s="63">
        <f t="shared" si="32"/>
        <v>0</v>
      </c>
      <c r="AH73" s="63"/>
      <c r="AI73" s="63">
        <f t="shared" si="33"/>
        <v>0</v>
      </c>
    </row>
    <row r="74" spans="1:37" ht="21">
      <c r="A74" s="55" t="s">
        <v>26</v>
      </c>
      <c r="B74" s="125">
        <v>3</v>
      </c>
      <c r="C74" s="125">
        <v>3</v>
      </c>
      <c r="D74" s="125">
        <v>2</v>
      </c>
      <c r="E74" s="125">
        <v>0</v>
      </c>
      <c r="F74" s="125">
        <v>1</v>
      </c>
      <c r="G74" s="125">
        <v>2</v>
      </c>
      <c r="H74" s="125">
        <v>3</v>
      </c>
      <c r="I74" s="125">
        <v>2</v>
      </c>
      <c r="J74" s="125">
        <v>0</v>
      </c>
      <c r="K74" s="125">
        <v>0</v>
      </c>
      <c r="L74" s="125">
        <v>3</v>
      </c>
      <c r="M74" s="125">
        <v>1</v>
      </c>
      <c r="N74" s="125">
        <v>1</v>
      </c>
      <c r="O74" s="125">
        <v>2</v>
      </c>
      <c r="P74" s="125">
        <v>3</v>
      </c>
      <c r="Q74" s="125">
        <v>1</v>
      </c>
      <c r="R74" s="125">
        <v>1</v>
      </c>
      <c r="S74" s="125">
        <v>0</v>
      </c>
      <c r="T74" s="125">
        <v>0</v>
      </c>
      <c r="U74" s="125">
        <v>4</v>
      </c>
      <c r="V74" s="125">
        <v>2</v>
      </c>
      <c r="W74" s="125">
        <v>3</v>
      </c>
      <c r="X74" s="125">
        <v>0</v>
      </c>
      <c r="Y74" s="125">
        <v>3</v>
      </c>
      <c r="Z74" s="125">
        <v>1</v>
      </c>
      <c r="AA74" s="125">
        <v>1</v>
      </c>
      <c r="AB74" s="125">
        <v>1</v>
      </c>
      <c r="AC74" s="125">
        <v>8</v>
      </c>
      <c r="AD74" s="56"/>
      <c r="AE74" s="56"/>
      <c r="AF74" s="56"/>
      <c r="AG74" s="63">
        <f t="shared" si="32"/>
        <v>51</v>
      </c>
      <c r="AH74" s="63"/>
      <c r="AI74" s="63">
        <f t="shared" si="33"/>
        <v>51</v>
      </c>
    </row>
    <row r="75" spans="1:37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2"/>
        <v>0</v>
      </c>
      <c r="AH75" s="70"/>
      <c r="AI75" s="63">
        <f t="shared" si="33"/>
        <v>0</v>
      </c>
    </row>
    <row r="76" spans="1:37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2"/>
        <v>0</v>
      </c>
      <c r="AH76" s="71"/>
      <c r="AI76" s="63">
        <f t="shared" si="33"/>
        <v>0</v>
      </c>
    </row>
    <row r="77" spans="1:37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2"/>
        <v>0</v>
      </c>
      <c r="AH77" s="63"/>
      <c r="AI77" s="63">
        <f t="shared" si="33"/>
        <v>0</v>
      </c>
    </row>
    <row r="78" spans="1:37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7" ht="21">
      <c r="A79" s="53" t="s">
        <v>27</v>
      </c>
      <c r="B79" s="54">
        <v>45689</v>
      </c>
      <c r="C79" s="54">
        <v>45690</v>
      </c>
      <c r="D79" s="54">
        <v>45691</v>
      </c>
      <c r="E79" s="54">
        <v>45692</v>
      </c>
      <c r="F79" s="54">
        <v>45693</v>
      </c>
      <c r="G79" s="54">
        <v>45694</v>
      </c>
      <c r="H79" s="54">
        <v>45695</v>
      </c>
      <c r="I79" s="54">
        <v>45696</v>
      </c>
      <c r="J79" s="54">
        <v>45697</v>
      </c>
      <c r="K79" s="54">
        <v>45698</v>
      </c>
      <c r="L79" s="54">
        <v>45699</v>
      </c>
      <c r="M79" s="54">
        <v>45700</v>
      </c>
      <c r="N79" s="54">
        <v>45701</v>
      </c>
      <c r="O79" s="54">
        <v>45702</v>
      </c>
      <c r="P79" s="54">
        <v>45703</v>
      </c>
      <c r="Q79" s="54">
        <v>45704</v>
      </c>
      <c r="R79" s="54">
        <v>45705</v>
      </c>
      <c r="S79" s="54">
        <v>45706</v>
      </c>
      <c r="T79" s="54">
        <v>45707</v>
      </c>
      <c r="U79" s="54">
        <v>45708</v>
      </c>
      <c r="V79" s="54">
        <v>45709</v>
      </c>
      <c r="W79" s="54">
        <v>45710</v>
      </c>
      <c r="X79" s="54">
        <v>45711</v>
      </c>
      <c r="Y79" s="54">
        <v>45712</v>
      </c>
      <c r="Z79" s="54">
        <v>45713</v>
      </c>
      <c r="AA79" s="54">
        <v>45714</v>
      </c>
      <c r="AB79" s="54">
        <v>45715</v>
      </c>
      <c r="AC79" s="54">
        <v>45716</v>
      </c>
      <c r="AD79" s="54"/>
      <c r="AE79" s="54"/>
      <c r="AF79" s="54"/>
      <c r="AG79" s="61" t="s">
        <v>2</v>
      </c>
      <c r="AH79" s="61" t="s">
        <v>3</v>
      </c>
      <c r="AI79" s="124" t="s">
        <v>126</v>
      </c>
    </row>
    <row r="80" spans="1:37" ht="21">
      <c r="A80" s="55" t="s">
        <v>56</v>
      </c>
      <c r="B80" s="56">
        <v>60</v>
      </c>
      <c r="C80" s="56">
        <v>36</v>
      </c>
      <c r="D80" s="56">
        <v>15</v>
      </c>
      <c r="E80" s="56">
        <v>29</v>
      </c>
      <c r="F80" s="56">
        <v>28</v>
      </c>
      <c r="G80" s="56">
        <v>54</v>
      </c>
      <c r="H80" s="56">
        <v>110</v>
      </c>
      <c r="I80" s="56">
        <v>58</v>
      </c>
      <c r="J80" s="56">
        <v>21</v>
      </c>
      <c r="K80" s="56">
        <v>29</v>
      </c>
      <c r="L80" s="56">
        <v>36</v>
      </c>
      <c r="M80" s="56">
        <v>30</v>
      </c>
      <c r="N80" s="56">
        <v>27</v>
      </c>
      <c r="O80" s="56">
        <v>104</v>
      </c>
      <c r="P80" s="56">
        <v>39</v>
      </c>
      <c r="Q80" s="56">
        <v>16</v>
      </c>
      <c r="R80" s="56">
        <v>25</v>
      </c>
      <c r="S80" s="56">
        <v>28</v>
      </c>
      <c r="T80" s="56">
        <v>17</v>
      </c>
      <c r="U80" s="56">
        <v>24</v>
      </c>
      <c r="V80" s="56">
        <v>109</v>
      </c>
      <c r="W80" s="56">
        <v>43</v>
      </c>
      <c r="X80" s="56">
        <v>23</v>
      </c>
      <c r="Y80" s="56">
        <v>33</v>
      </c>
      <c r="Z80" s="56">
        <v>21</v>
      </c>
      <c r="AA80" s="56">
        <v>31</v>
      </c>
      <c r="AB80" s="56">
        <v>45</v>
      </c>
      <c r="AC80" s="56">
        <v>121</v>
      </c>
      <c r="AD80" s="56"/>
      <c r="AE80" s="56"/>
      <c r="AF80" s="56"/>
      <c r="AG80" s="63">
        <f>SUM(B80:AF80)</f>
        <v>1212</v>
      </c>
      <c r="AH80" s="63"/>
      <c r="AI80" s="63">
        <f>AG80</f>
        <v>1212</v>
      </c>
    </row>
    <row r="81" spans="1:67" ht="21">
      <c r="A81" s="55" t="s">
        <v>21</v>
      </c>
      <c r="B81" s="56">
        <v>40</v>
      </c>
      <c r="C81" s="56">
        <v>25</v>
      </c>
      <c r="D81" s="56">
        <v>8</v>
      </c>
      <c r="E81" s="56">
        <v>15</v>
      </c>
      <c r="F81" s="56">
        <v>12</v>
      </c>
      <c r="G81" s="56">
        <v>26</v>
      </c>
      <c r="H81" s="56">
        <v>59</v>
      </c>
      <c r="I81" s="56">
        <v>32</v>
      </c>
      <c r="J81" s="56">
        <v>9</v>
      </c>
      <c r="K81" s="56">
        <v>14</v>
      </c>
      <c r="L81" s="56">
        <v>19</v>
      </c>
      <c r="M81" s="56">
        <v>11</v>
      </c>
      <c r="N81" s="56">
        <v>15</v>
      </c>
      <c r="O81" s="56">
        <v>52</v>
      </c>
      <c r="P81" s="56">
        <v>21</v>
      </c>
      <c r="Q81" s="56">
        <v>0</v>
      </c>
      <c r="R81" s="56">
        <v>7</v>
      </c>
      <c r="S81" s="56">
        <v>15</v>
      </c>
      <c r="T81" s="56">
        <v>3</v>
      </c>
      <c r="U81" s="56">
        <v>7</v>
      </c>
      <c r="V81" s="56">
        <v>52</v>
      </c>
      <c r="W81" s="56">
        <v>24</v>
      </c>
      <c r="X81" s="56">
        <v>14</v>
      </c>
      <c r="Y81" s="56">
        <v>18</v>
      </c>
      <c r="Z81" s="56">
        <v>6</v>
      </c>
      <c r="AA81" s="56">
        <v>21</v>
      </c>
      <c r="AB81" s="56">
        <v>22</v>
      </c>
      <c r="AC81" s="56">
        <v>52</v>
      </c>
      <c r="AD81" s="56"/>
      <c r="AE81" s="56"/>
      <c r="AF81" s="56"/>
      <c r="AG81" s="63">
        <f t="shared" ref="AG81:AG88" si="34">SUM(B81:AF81)</f>
        <v>599</v>
      </c>
      <c r="AH81" s="63"/>
      <c r="AI81" s="63">
        <f>AG81+AH83+AH84+AH85</f>
        <v>599</v>
      </c>
    </row>
    <row r="82" spans="1:67" ht="21">
      <c r="A82" s="55" t="s">
        <v>22</v>
      </c>
      <c r="B82" s="125">
        <v>29</v>
      </c>
      <c r="C82" s="125">
        <v>20</v>
      </c>
      <c r="D82" s="125">
        <v>7</v>
      </c>
      <c r="E82" s="125">
        <v>14</v>
      </c>
      <c r="F82" s="125">
        <v>11</v>
      </c>
      <c r="G82" s="125">
        <v>22</v>
      </c>
      <c r="H82" s="125">
        <v>53</v>
      </c>
      <c r="I82" s="125">
        <v>27</v>
      </c>
      <c r="J82" s="125">
        <v>8</v>
      </c>
      <c r="K82" s="125">
        <v>10</v>
      </c>
      <c r="L82" s="125">
        <v>19</v>
      </c>
      <c r="M82" s="125">
        <v>11</v>
      </c>
      <c r="N82" s="125">
        <v>15</v>
      </c>
      <c r="O82" s="125">
        <v>46</v>
      </c>
      <c r="P82" s="125">
        <v>18</v>
      </c>
      <c r="Q82" s="125">
        <v>0</v>
      </c>
      <c r="R82" s="125">
        <v>7</v>
      </c>
      <c r="S82" s="125">
        <v>12</v>
      </c>
      <c r="T82" s="125">
        <v>2</v>
      </c>
      <c r="U82" s="125">
        <v>6</v>
      </c>
      <c r="V82" s="125">
        <v>47</v>
      </c>
      <c r="W82" s="125">
        <v>21</v>
      </c>
      <c r="X82" s="125">
        <v>14</v>
      </c>
      <c r="Y82" s="125">
        <v>18</v>
      </c>
      <c r="Z82" s="125">
        <v>4</v>
      </c>
      <c r="AA82" s="125">
        <v>19</v>
      </c>
      <c r="AB82" s="125">
        <v>20</v>
      </c>
      <c r="AC82" s="125">
        <v>46</v>
      </c>
      <c r="AD82" s="56"/>
      <c r="AE82" s="56"/>
      <c r="AF82" s="56"/>
      <c r="AG82" s="63">
        <f t="shared" si="34"/>
        <v>526</v>
      </c>
      <c r="AH82" s="63"/>
      <c r="AI82" s="63">
        <f>AG82+AH83+AH84+AH85</f>
        <v>526</v>
      </c>
      <c r="AK82">
        <v>2</v>
      </c>
    </row>
    <row r="83" spans="1:67" ht="21">
      <c r="A83" s="55" t="s">
        <v>23</v>
      </c>
      <c r="B83" s="125">
        <v>0</v>
      </c>
      <c r="C83" s="125">
        <v>0</v>
      </c>
      <c r="D83" s="125">
        <v>0</v>
      </c>
      <c r="E83" s="125">
        <v>0</v>
      </c>
      <c r="F83" s="125">
        <v>0</v>
      </c>
      <c r="G83" s="125">
        <v>0</v>
      </c>
      <c r="H83" s="125">
        <v>0</v>
      </c>
      <c r="I83" s="125">
        <v>0</v>
      </c>
      <c r="J83" s="125">
        <v>0</v>
      </c>
      <c r="K83" s="125">
        <v>1</v>
      </c>
      <c r="L83" s="125">
        <v>0</v>
      </c>
      <c r="M83" s="125">
        <v>0</v>
      </c>
      <c r="N83" s="125">
        <v>0</v>
      </c>
      <c r="O83" s="125">
        <v>1</v>
      </c>
      <c r="P83" s="125">
        <v>1</v>
      </c>
      <c r="Q83" s="125">
        <v>0</v>
      </c>
      <c r="R83" s="125">
        <v>0</v>
      </c>
      <c r="S83" s="125">
        <v>0</v>
      </c>
      <c r="T83" s="125">
        <v>0</v>
      </c>
      <c r="U83" s="125">
        <v>1</v>
      </c>
      <c r="V83" s="125">
        <v>0</v>
      </c>
      <c r="W83" s="125">
        <v>1</v>
      </c>
      <c r="X83" s="125">
        <v>0</v>
      </c>
      <c r="Y83" s="125">
        <v>0</v>
      </c>
      <c r="Z83" s="125">
        <v>0</v>
      </c>
      <c r="AA83" s="125">
        <v>0</v>
      </c>
      <c r="AB83" s="125">
        <v>0</v>
      </c>
      <c r="AC83" s="125">
        <v>2</v>
      </c>
      <c r="AD83" s="56"/>
      <c r="AE83" s="56"/>
      <c r="AF83" s="56"/>
      <c r="AG83" s="63">
        <f t="shared" si="34"/>
        <v>7</v>
      </c>
      <c r="AH83" s="63"/>
      <c r="AI83" s="63">
        <f t="shared" ref="AI83:AI88" si="35">AG83-AH83</f>
        <v>7</v>
      </c>
    </row>
    <row r="84" spans="1:67" ht="21">
      <c r="A84" s="55" t="s">
        <v>24</v>
      </c>
      <c r="B84" s="125">
        <v>0</v>
      </c>
      <c r="C84" s="125">
        <v>0</v>
      </c>
      <c r="D84" s="125">
        <v>0</v>
      </c>
      <c r="E84" s="125">
        <v>0</v>
      </c>
      <c r="F84" s="125">
        <v>0</v>
      </c>
      <c r="G84" s="125">
        <v>0</v>
      </c>
      <c r="H84" s="125">
        <v>0</v>
      </c>
      <c r="I84" s="125">
        <v>0</v>
      </c>
      <c r="J84" s="125">
        <v>0</v>
      </c>
      <c r="K84" s="125">
        <v>0</v>
      </c>
      <c r="L84" s="125">
        <v>0</v>
      </c>
      <c r="M84" s="125">
        <v>0</v>
      </c>
      <c r="N84" s="125">
        <v>0</v>
      </c>
      <c r="O84" s="125">
        <v>0</v>
      </c>
      <c r="P84" s="125">
        <v>0</v>
      </c>
      <c r="Q84" s="125">
        <v>0</v>
      </c>
      <c r="R84" s="125">
        <v>0</v>
      </c>
      <c r="S84" s="125">
        <v>0</v>
      </c>
      <c r="T84" s="125">
        <v>0</v>
      </c>
      <c r="U84" s="125">
        <v>0</v>
      </c>
      <c r="V84" s="125">
        <v>0</v>
      </c>
      <c r="W84" s="125">
        <v>0</v>
      </c>
      <c r="X84" s="125">
        <v>0</v>
      </c>
      <c r="Y84" s="125">
        <v>0</v>
      </c>
      <c r="Z84" s="125">
        <v>0</v>
      </c>
      <c r="AA84" s="125">
        <v>0</v>
      </c>
      <c r="AB84" s="125">
        <v>0</v>
      </c>
      <c r="AC84" s="125">
        <v>0</v>
      </c>
      <c r="AD84" s="56"/>
      <c r="AE84" s="56"/>
      <c r="AF84" s="56"/>
      <c r="AG84" s="63">
        <f t="shared" si="34"/>
        <v>0</v>
      </c>
      <c r="AH84" s="63"/>
      <c r="AI84" s="63">
        <f t="shared" si="35"/>
        <v>0</v>
      </c>
    </row>
    <row r="85" spans="1:67" ht="21">
      <c r="A85" s="55" t="s">
        <v>26</v>
      </c>
      <c r="B85" s="125">
        <v>11</v>
      </c>
      <c r="C85" s="125">
        <v>5</v>
      </c>
      <c r="D85" s="125">
        <v>1</v>
      </c>
      <c r="E85" s="125">
        <v>1</v>
      </c>
      <c r="F85" s="125">
        <v>1</v>
      </c>
      <c r="G85" s="125">
        <v>4</v>
      </c>
      <c r="H85" s="125">
        <v>6</v>
      </c>
      <c r="I85" s="125">
        <v>5</v>
      </c>
      <c r="J85" s="125">
        <v>1</v>
      </c>
      <c r="K85" s="125">
        <v>3</v>
      </c>
      <c r="L85" s="125">
        <v>0</v>
      </c>
      <c r="M85" s="125">
        <v>0</v>
      </c>
      <c r="N85" s="125">
        <v>0</v>
      </c>
      <c r="O85" s="125">
        <v>5</v>
      </c>
      <c r="P85" s="125">
        <v>2</v>
      </c>
      <c r="Q85" s="125">
        <v>0</v>
      </c>
      <c r="R85" s="125">
        <v>0</v>
      </c>
      <c r="S85" s="125">
        <v>3</v>
      </c>
      <c r="T85" s="125">
        <v>1</v>
      </c>
      <c r="U85" s="125">
        <v>0</v>
      </c>
      <c r="V85" s="125">
        <v>5</v>
      </c>
      <c r="W85" s="125">
        <v>2</v>
      </c>
      <c r="X85" s="125">
        <v>0</v>
      </c>
      <c r="Y85" s="125">
        <v>0</v>
      </c>
      <c r="Z85" s="125">
        <v>2</v>
      </c>
      <c r="AA85" s="125">
        <v>2</v>
      </c>
      <c r="AB85" s="125">
        <v>2</v>
      </c>
      <c r="AC85" s="125">
        <v>4</v>
      </c>
      <c r="AD85" s="56"/>
      <c r="AE85" s="56"/>
      <c r="AF85" s="56"/>
      <c r="AG85" s="63">
        <f t="shared" si="34"/>
        <v>66</v>
      </c>
      <c r="AH85" s="63"/>
      <c r="AI85" s="63">
        <f t="shared" si="35"/>
        <v>66</v>
      </c>
    </row>
    <row r="86" spans="1:67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4"/>
        <v>0</v>
      </c>
      <c r="AH86" s="70"/>
      <c r="AI86" s="63">
        <f t="shared" si="35"/>
        <v>0</v>
      </c>
    </row>
    <row r="87" spans="1:67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4"/>
        <v>0</v>
      </c>
      <c r="AH87" s="71"/>
      <c r="AI87" s="63">
        <f t="shared" si="35"/>
        <v>0</v>
      </c>
    </row>
    <row r="88" spans="1:67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4"/>
        <v>0</v>
      </c>
      <c r="AH88" s="63"/>
      <c r="AI88" s="63">
        <f t="shared" si="35"/>
        <v>0</v>
      </c>
    </row>
    <row r="89" spans="1:67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BD89" s="3"/>
      <c r="BE89" s="41"/>
      <c r="BF89" s="41"/>
      <c r="BI89" s="3"/>
      <c r="BJ89" s="3"/>
      <c r="BK89" s="3"/>
      <c r="BL89" s="3"/>
      <c r="BM89" s="3"/>
      <c r="BN89" s="3"/>
      <c r="BO89" s="3"/>
    </row>
    <row r="90" spans="1:67" ht="21">
      <c r="A90" s="53"/>
      <c r="B90" s="54">
        <v>45689</v>
      </c>
      <c r="C90" s="54">
        <v>45690</v>
      </c>
      <c r="D90" s="54">
        <v>45691</v>
      </c>
      <c r="E90" s="54">
        <v>45692</v>
      </c>
      <c r="F90" s="54">
        <v>45693</v>
      </c>
      <c r="G90" s="54">
        <v>45694</v>
      </c>
      <c r="H90" s="54">
        <v>45695</v>
      </c>
      <c r="I90" s="54">
        <v>45696</v>
      </c>
      <c r="J90" s="54">
        <v>45697</v>
      </c>
      <c r="K90" s="54">
        <v>45698</v>
      </c>
      <c r="L90" s="54">
        <v>45699</v>
      </c>
      <c r="M90" s="54">
        <v>45700</v>
      </c>
      <c r="N90" s="54">
        <v>45701</v>
      </c>
      <c r="O90" s="54">
        <v>45702</v>
      </c>
      <c r="P90" s="54">
        <v>45703</v>
      </c>
      <c r="Q90" s="54">
        <v>45704</v>
      </c>
      <c r="R90" s="54">
        <v>45705</v>
      </c>
      <c r="S90" s="54">
        <v>45706</v>
      </c>
      <c r="T90" s="54">
        <v>45707</v>
      </c>
      <c r="U90" s="54">
        <v>45708</v>
      </c>
      <c r="V90" s="54">
        <v>45709</v>
      </c>
      <c r="W90" s="54">
        <v>45710</v>
      </c>
      <c r="X90" s="54">
        <v>45711</v>
      </c>
      <c r="Y90" s="54">
        <v>45712</v>
      </c>
      <c r="Z90" s="54">
        <v>45713</v>
      </c>
      <c r="AA90" s="54">
        <v>45714</v>
      </c>
      <c r="AB90" s="54">
        <v>45715</v>
      </c>
      <c r="AC90" s="54">
        <v>45716</v>
      </c>
      <c r="AD90" s="54"/>
      <c r="AE90" s="54"/>
      <c r="AF90" s="54"/>
      <c r="AG90" s="61" t="s">
        <v>2</v>
      </c>
      <c r="AH90" s="61" t="s">
        <v>3</v>
      </c>
      <c r="AI90" s="62" t="s">
        <v>59</v>
      </c>
    </row>
    <row r="91" spans="1:67" ht="21">
      <c r="A91" s="55" t="s">
        <v>56</v>
      </c>
      <c r="B91" s="56">
        <v>32</v>
      </c>
      <c r="C91" s="56">
        <v>52</v>
      </c>
      <c r="D91" s="56">
        <v>45</v>
      </c>
      <c r="E91" s="56">
        <v>36</v>
      </c>
      <c r="F91" s="56">
        <v>52</v>
      </c>
      <c r="G91" s="56">
        <v>41</v>
      </c>
      <c r="H91" s="56">
        <v>61</v>
      </c>
      <c r="I91" s="56">
        <v>46</v>
      </c>
      <c r="J91" s="56">
        <v>48</v>
      </c>
      <c r="K91" s="56">
        <v>52</v>
      </c>
      <c r="L91" s="56">
        <v>28</v>
      </c>
      <c r="M91" s="56">
        <v>34</v>
      </c>
      <c r="N91" s="56">
        <v>53</v>
      </c>
      <c r="O91" s="56">
        <v>49</v>
      </c>
      <c r="P91" s="56">
        <v>33</v>
      </c>
      <c r="Q91" s="56">
        <v>56</v>
      </c>
      <c r="R91" s="56">
        <v>48</v>
      </c>
      <c r="S91" s="56">
        <v>29</v>
      </c>
      <c r="T91" s="56">
        <v>34</v>
      </c>
      <c r="U91" s="56">
        <v>49</v>
      </c>
      <c r="V91" s="56">
        <v>57</v>
      </c>
      <c r="W91" s="56">
        <v>30</v>
      </c>
      <c r="X91" s="56">
        <v>47</v>
      </c>
      <c r="Y91" s="56">
        <v>73</v>
      </c>
      <c r="Z91" s="56">
        <v>44</v>
      </c>
      <c r="AA91" s="56">
        <v>45</v>
      </c>
      <c r="AB91" s="56">
        <v>82</v>
      </c>
      <c r="AC91" s="56">
        <v>86</v>
      </c>
      <c r="AD91" s="56"/>
      <c r="AE91" s="56"/>
      <c r="AF91" s="56"/>
      <c r="AG91" s="63">
        <f>SUM(B91:AF91)</f>
        <v>1342</v>
      </c>
      <c r="AH91" s="63"/>
      <c r="AI91" s="63">
        <f>AG91</f>
        <v>1342</v>
      </c>
    </row>
    <row r="92" spans="1:67" ht="21">
      <c r="A92" s="55" t="s">
        <v>21</v>
      </c>
      <c r="B92" s="56">
        <v>28</v>
      </c>
      <c r="C92" s="56">
        <v>26</v>
      </c>
      <c r="D92" s="56">
        <v>23</v>
      </c>
      <c r="E92" s="56">
        <v>16</v>
      </c>
      <c r="F92" s="56">
        <v>36</v>
      </c>
      <c r="G92" s="56">
        <v>21</v>
      </c>
      <c r="H92" s="56">
        <v>35</v>
      </c>
      <c r="I92" s="56">
        <v>24</v>
      </c>
      <c r="J92" s="56">
        <v>28</v>
      </c>
      <c r="K92" s="56">
        <v>25</v>
      </c>
      <c r="L92" s="56">
        <v>21</v>
      </c>
      <c r="M92" s="56">
        <v>23</v>
      </c>
      <c r="N92" s="56">
        <v>24</v>
      </c>
      <c r="O92" s="56">
        <v>27</v>
      </c>
      <c r="P92" s="56">
        <v>19</v>
      </c>
      <c r="Q92" s="56">
        <v>23</v>
      </c>
      <c r="R92" s="56">
        <v>21</v>
      </c>
      <c r="S92" s="56">
        <v>18</v>
      </c>
      <c r="T92" s="56">
        <v>21</v>
      </c>
      <c r="U92" s="56">
        <v>26</v>
      </c>
      <c r="V92" s="56">
        <v>22</v>
      </c>
      <c r="W92" s="56">
        <v>17</v>
      </c>
      <c r="X92" s="56">
        <v>26</v>
      </c>
      <c r="Y92" s="56">
        <v>27</v>
      </c>
      <c r="Z92" s="56">
        <v>24</v>
      </c>
      <c r="AA92" s="56">
        <v>29</v>
      </c>
      <c r="AB92" s="56">
        <v>39</v>
      </c>
      <c r="AC92" s="56">
        <v>37</v>
      </c>
      <c r="AD92" s="56"/>
      <c r="AE92" s="56"/>
      <c r="AF92" s="56"/>
      <c r="AG92" s="63">
        <f t="shared" ref="AG92:AG99" si="36">SUM(B92:AF92)</f>
        <v>706</v>
      </c>
      <c r="AH92" s="63"/>
      <c r="AI92" s="63">
        <f>AG92+AH94+AH95+AH96</f>
        <v>706</v>
      </c>
    </row>
    <row r="93" spans="1:67" ht="21">
      <c r="A93" s="55" t="s">
        <v>22</v>
      </c>
      <c r="B93" s="125">
        <v>28</v>
      </c>
      <c r="C93" s="125">
        <v>26</v>
      </c>
      <c r="D93" s="125">
        <v>23</v>
      </c>
      <c r="E93" s="125">
        <v>16</v>
      </c>
      <c r="F93" s="125">
        <v>33</v>
      </c>
      <c r="G93" s="125">
        <v>20</v>
      </c>
      <c r="H93" s="125">
        <v>35</v>
      </c>
      <c r="I93" s="125">
        <v>23</v>
      </c>
      <c r="J93" s="125">
        <v>26</v>
      </c>
      <c r="K93" s="125">
        <v>24</v>
      </c>
      <c r="L93" s="125">
        <v>21</v>
      </c>
      <c r="M93" s="125">
        <v>23</v>
      </c>
      <c r="N93" s="125">
        <v>24</v>
      </c>
      <c r="O93" s="144">
        <v>27</v>
      </c>
      <c r="P93" s="125">
        <v>19</v>
      </c>
      <c r="Q93" s="125">
        <v>21</v>
      </c>
      <c r="R93" s="144">
        <v>21</v>
      </c>
      <c r="S93" s="125">
        <v>17</v>
      </c>
      <c r="T93" s="125">
        <v>20</v>
      </c>
      <c r="U93" s="125">
        <v>25</v>
      </c>
      <c r="V93" s="125">
        <v>22</v>
      </c>
      <c r="W93" s="125">
        <v>17</v>
      </c>
      <c r="X93" s="125">
        <v>24</v>
      </c>
      <c r="Y93" s="125">
        <v>26</v>
      </c>
      <c r="Z93" s="125">
        <v>23</v>
      </c>
      <c r="AA93" s="125">
        <v>27</v>
      </c>
      <c r="AB93" s="125">
        <v>34</v>
      </c>
      <c r="AC93" s="125">
        <v>36</v>
      </c>
      <c r="AD93" s="56"/>
      <c r="AE93" s="56"/>
      <c r="AF93" s="56"/>
      <c r="AG93" s="63">
        <f t="shared" si="36"/>
        <v>681</v>
      </c>
      <c r="AH93" s="63"/>
      <c r="AI93" s="63">
        <f>AG93+AH94+AH95+AH96</f>
        <v>681</v>
      </c>
    </row>
    <row r="94" spans="1:67" ht="21">
      <c r="A94" s="55" t="s">
        <v>23</v>
      </c>
      <c r="B94" s="125">
        <v>0</v>
      </c>
      <c r="C94" s="125">
        <v>0</v>
      </c>
      <c r="D94" s="125">
        <v>0</v>
      </c>
      <c r="E94" s="125">
        <v>0</v>
      </c>
      <c r="F94" s="125">
        <v>1</v>
      </c>
      <c r="G94" s="125">
        <v>0</v>
      </c>
      <c r="H94" s="125">
        <v>0</v>
      </c>
      <c r="I94" s="125">
        <v>0</v>
      </c>
      <c r="J94" s="125">
        <v>0</v>
      </c>
      <c r="K94" s="125">
        <v>0</v>
      </c>
      <c r="L94" s="125">
        <v>0</v>
      </c>
      <c r="M94" s="125">
        <v>0</v>
      </c>
      <c r="N94" s="125">
        <v>0</v>
      </c>
      <c r="O94" s="125">
        <v>0</v>
      </c>
      <c r="P94" s="125">
        <v>0</v>
      </c>
      <c r="Q94" s="125">
        <v>1</v>
      </c>
      <c r="R94" s="125">
        <v>0</v>
      </c>
      <c r="S94" s="125">
        <v>1</v>
      </c>
      <c r="T94" s="125">
        <v>0</v>
      </c>
      <c r="U94" s="125">
        <v>0</v>
      </c>
      <c r="V94" s="125">
        <v>0</v>
      </c>
      <c r="W94" s="125">
        <v>0</v>
      </c>
      <c r="X94" s="125">
        <v>0</v>
      </c>
      <c r="Y94" s="125">
        <v>0</v>
      </c>
      <c r="Z94" s="125">
        <v>0</v>
      </c>
      <c r="AA94" s="125">
        <v>0</v>
      </c>
      <c r="AB94" s="125">
        <v>0</v>
      </c>
      <c r="AC94" s="125">
        <v>0</v>
      </c>
      <c r="AD94" s="56"/>
      <c r="AE94" s="56"/>
      <c r="AF94" s="56"/>
      <c r="AG94" s="63">
        <f t="shared" si="36"/>
        <v>3</v>
      </c>
      <c r="AH94" s="63"/>
      <c r="AI94" s="63">
        <f t="shared" ref="AI94:AI99" si="37">AG94-AH94</f>
        <v>3</v>
      </c>
    </row>
    <row r="95" spans="1:67" ht="21">
      <c r="A95" s="55" t="s">
        <v>24</v>
      </c>
      <c r="B95" s="125">
        <v>0</v>
      </c>
      <c r="C95" s="125">
        <v>0</v>
      </c>
      <c r="D95" s="125">
        <v>0</v>
      </c>
      <c r="E95" s="125">
        <v>0</v>
      </c>
      <c r="F95" s="125">
        <v>0</v>
      </c>
      <c r="G95" s="125">
        <v>0</v>
      </c>
      <c r="H95" s="125">
        <v>0</v>
      </c>
      <c r="I95" s="125">
        <v>0</v>
      </c>
      <c r="J95" s="125">
        <v>0</v>
      </c>
      <c r="K95" s="125">
        <v>0</v>
      </c>
      <c r="L95" s="125">
        <v>0</v>
      </c>
      <c r="M95" s="125">
        <v>0</v>
      </c>
      <c r="N95" s="125">
        <v>0</v>
      </c>
      <c r="O95" s="125">
        <v>0</v>
      </c>
      <c r="P95" s="125">
        <v>0</v>
      </c>
      <c r="Q95" s="125">
        <v>0</v>
      </c>
      <c r="R95" s="125">
        <v>0</v>
      </c>
      <c r="S95" s="125">
        <v>0</v>
      </c>
      <c r="T95" s="125">
        <v>0</v>
      </c>
      <c r="U95" s="125">
        <v>0</v>
      </c>
      <c r="V95" s="125">
        <v>0</v>
      </c>
      <c r="W95" s="125">
        <v>0</v>
      </c>
      <c r="X95" s="125">
        <v>0</v>
      </c>
      <c r="Y95" s="125">
        <v>0</v>
      </c>
      <c r="Z95" s="125">
        <v>0</v>
      </c>
      <c r="AA95" s="125">
        <v>0</v>
      </c>
      <c r="AB95" s="125">
        <v>0</v>
      </c>
      <c r="AC95" s="125">
        <v>0</v>
      </c>
      <c r="AD95" s="56"/>
      <c r="AE95" s="56"/>
      <c r="AF95" s="56"/>
      <c r="AG95" s="63">
        <f t="shared" si="36"/>
        <v>0</v>
      </c>
      <c r="AH95" s="63"/>
      <c r="AI95" s="63">
        <f t="shared" si="37"/>
        <v>0</v>
      </c>
    </row>
    <row r="96" spans="1:67" ht="21">
      <c r="A96" s="55" t="s">
        <v>26</v>
      </c>
      <c r="B96" s="125">
        <v>0</v>
      </c>
      <c r="C96" s="125">
        <v>0</v>
      </c>
      <c r="D96" s="125">
        <v>0</v>
      </c>
      <c r="E96" s="125">
        <v>0</v>
      </c>
      <c r="F96" s="125">
        <v>2</v>
      </c>
      <c r="G96" s="125">
        <v>1</v>
      </c>
      <c r="H96" s="125">
        <v>0</v>
      </c>
      <c r="I96" s="125">
        <v>1</v>
      </c>
      <c r="J96" s="125">
        <v>2</v>
      </c>
      <c r="K96" s="125">
        <v>1</v>
      </c>
      <c r="L96" s="125">
        <v>0</v>
      </c>
      <c r="M96" s="125">
        <v>0</v>
      </c>
      <c r="N96" s="125">
        <v>0</v>
      </c>
      <c r="O96" s="125">
        <v>0</v>
      </c>
      <c r="P96" s="125">
        <v>0</v>
      </c>
      <c r="Q96" s="125">
        <v>1</v>
      </c>
      <c r="R96" s="125">
        <v>0</v>
      </c>
      <c r="S96" s="125">
        <v>0</v>
      </c>
      <c r="T96" s="125">
        <v>1</v>
      </c>
      <c r="U96" s="125">
        <v>1</v>
      </c>
      <c r="V96" s="125">
        <v>0</v>
      </c>
      <c r="W96" s="125">
        <v>0</v>
      </c>
      <c r="X96" s="125">
        <v>2</v>
      </c>
      <c r="Y96" s="125">
        <v>1</v>
      </c>
      <c r="Z96" s="125">
        <v>1</v>
      </c>
      <c r="AA96" s="125">
        <v>2</v>
      </c>
      <c r="AB96" s="125">
        <v>5</v>
      </c>
      <c r="AC96" s="125">
        <v>1</v>
      </c>
      <c r="AD96" s="56"/>
      <c r="AE96" s="56"/>
      <c r="AF96" s="56"/>
      <c r="AG96" s="63">
        <f t="shared" si="36"/>
        <v>22</v>
      </c>
      <c r="AH96" s="63"/>
      <c r="AI96" s="63">
        <f t="shared" si="37"/>
        <v>22</v>
      </c>
    </row>
    <row r="97" spans="1:75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6"/>
        <v>0</v>
      </c>
      <c r="AH97" s="70"/>
      <c r="AI97" s="63">
        <f t="shared" si="37"/>
        <v>0</v>
      </c>
    </row>
    <row r="98" spans="1:75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6"/>
        <v>0</v>
      </c>
      <c r="AH98" s="71"/>
      <c r="AI98" s="63">
        <f t="shared" si="37"/>
        <v>0</v>
      </c>
    </row>
    <row r="99" spans="1:75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6"/>
        <v>0</v>
      </c>
      <c r="AH99" s="63"/>
      <c r="AI99" s="63">
        <f t="shared" si="37"/>
        <v>0</v>
      </c>
    </row>
    <row r="100" spans="1:75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BD100" s="3"/>
      <c r="BE100" s="41"/>
      <c r="BF100" s="41"/>
      <c r="BI100" s="3"/>
      <c r="BJ100" s="3"/>
      <c r="BK100" s="3"/>
      <c r="BL100" s="3"/>
      <c r="BM100" s="3"/>
      <c r="BN100" s="3"/>
      <c r="BO100" s="3"/>
    </row>
    <row r="101" spans="1:75" ht="21">
      <c r="A101" s="53"/>
      <c r="B101" s="54">
        <v>45689</v>
      </c>
      <c r="C101" s="54">
        <v>45690</v>
      </c>
      <c r="D101" s="54">
        <v>45691</v>
      </c>
      <c r="E101" s="54">
        <v>45692</v>
      </c>
      <c r="F101" s="54">
        <v>45693</v>
      </c>
      <c r="G101" s="54">
        <v>45694</v>
      </c>
      <c r="H101" s="54">
        <v>45695</v>
      </c>
      <c r="I101" s="54">
        <v>45696</v>
      </c>
      <c r="J101" s="54">
        <v>45697</v>
      </c>
      <c r="K101" s="54">
        <v>45698</v>
      </c>
      <c r="L101" s="54">
        <v>45699</v>
      </c>
      <c r="M101" s="54">
        <v>45700</v>
      </c>
      <c r="N101" s="54">
        <v>45701</v>
      </c>
      <c r="O101" s="54">
        <v>45702</v>
      </c>
      <c r="P101" s="54">
        <v>45703</v>
      </c>
      <c r="Q101" s="54">
        <v>45704</v>
      </c>
      <c r="R101" s="54">
        <v>45705</v>
      </c>
      <c r="S101" s="54">
        <v>45706</v>
      </c>
      <c r="T101" s="54">
        <v>45707</v>
      </c>
      <c r="U101" s="54">
        <v>45708</v>
      </c>
      <c r="V101" s="54">
        <v>45709</v>
      </c>
      <c r="W101" s="54">
        <v>45710</v>
      </c>
      <c r="X101" s="54">
        <v>45711</v>
      </c>
      <c r="Y101" s="54">
        <v>45712</v>
      </c>
      <c r="Z101" s="54">
        <v>45713</v>
      </c>
      <c r="AA101" s="54">
        <v>45714</v>
      </c>
      <c r="AB101" s="54">
        <v>45715</v>
      </c>
      <c r="AC101" s="54">
        <v>45716</v>
      </c>
      <c r="AD101" s="54"/>
      <c r="AE101" s="54"/>
      <c r="AF101" s="54"/>
      <c r="AG101" s="61" t="s">
        <v>2</v>
      </c>
      <c r="AH101" s="61" t="s">
        <v>3</v>
      </c>
      <c r="AI101" s="62" t="s">
        <v>61</v>
      </c>
    </row>
    <row r="102" spans="1:75" ht="21">
      <c r="A102" s="55" t="s">
        <v>56</v>
      </c>
      <c r="B102" s="56">
        <v>0</v>
      </c>
      <c r="C102" s="56">
        <v>64</v>
      </c>
      <c r="D102" s="56">
        <v>55</v>
      </c>
      <c r="E102" s="56">
        <v>44</v>
      </c>
      <c r="F102" s="56">
        <v>35</v>
      </c>
      <c r="G102" s="56">
        <v>39</v>
      </c>
      <c r="H102" s="56">
        <v>77</v>
      </c>
      <c r="I102" s="56">
        <v>0</v>
      </c>
      <c r="J102" s="56">
        <v>63</v>
      </c>
      <c r="K102" s="56">
        <v>54</v>
      </c>
      <c r="L102" s="56">
        <v>25</v>
      </c>
      <c r="M102" s="56">
        <v>33</v>
      </c>
      <c r="N102" s="56">
        <v>30</v>
      </c>
      <c r="O102" s="56">
        <v>41</v>
      </c>
      <c r="P102" s="56">
        <v>0</v>
      </c>
      <c r="Q102" s="56">
        <v>59</v>
      </c>
      <c r="R102" s="56">
        <v>40</v>
      </c>
      <c r="S102" s="56">
        <v>27</v>
      </c>
      <c r="T102" s="56">
        <v>23</v>
      </c>
      <c r="U102" s="56">
        <v>38</v>
      </c>
      <c r="V102" s="56">
        <v>49</v>
      </c>
      <c r="W102" s="56">
        <v>0</v>
      </c>
      <c r="X102" s="56">
        <v>56</v>
      </c>
      <c r="Y102" s="56">
        <v>67</v>
      </c>
      <c r="Z102" s="56">
        <v>43</v>
      </c>
      <c r="AA102" s="56">
        <v>59</v>
      </c>
      <c r="AB102" s="56">
        <v>76</v>
      </c>
      <c r="AC102" s="56">
        <v>128</v>
      </c>
      <c r="AD102" s="56"/>
      <c r="AE102" s="56"/>
      <c r="AF102" s="56"/>
      <c r="AG102" s="63">
        <f>SUM(B102:AF102)</f>
        <v>1225</v>
      </c>
      <c r="AH102" s="63"/>
      <c r="AI102" s="63">
        <f>AG102</f>
        <v>1225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2"/>
      <c r="BV102" s="122"/>
      <c r="BW102" s="123"/>
    </row>
    <row r="103" spans="1:75" ht="21">
      <c r="A103" s="55" t="s">
        <v>21</v>
      </c>
      <c r="B103" s="56">
        <v>0</v>
      </c>
      <c r="C103" s="56">
        <v>24</v>
      </c>
      <c r="D103" s="56">
        <v>21</v>
      </c>
      <c r="E103" s="56">
        <v>31</v>
      </c>
      <c r="F103" s="56">
        <v>20</v>
      </c>
      <c r="G103" s="56">
        <v>23</v>
      </c>
      <c r="H103" s="56">
        <v>45</v>
      </c>
      <c r="I103" s="56">
        <v>0</v>
      </c>
      <c r="J103" s="56">
        <v>25</v>
      </c>
      <c r="K103" s="56">
        <v>24</v>
      </c>
      <c r="L103" s="56">
        <v>17</v>
      </c>
      <c r="M103" s="56">
        <v>15</v>
      </c>
      <c r="N103" s="56">
        <v>16</v>
      </c>
      <c r="O103" s="56">
        <v>21</v>
      </c>
      <c r="P103" s="56">
        <v>0</v>
      </c>
      <c r="Q103" s="56">
        <v>30</v>
      </c>
      <c r="R103" s="56">
        <v>20</v>
      </c>
      <c r="S103" s="56">
        <v>13</v>
      </c>
      <c r="T103" s="56">
        <v>15</v>
      </c>
      <c r="U103" s="56">
        <v>24</v>
      </c>
      <c r="V103" s="56">
        <v>34</v>
      </c>
      <c r="W103" s="56">
        <v>0</v>
      </c>
      <c r="X103" s="56">
        <v>20</v>
      </c>
      <c r="Y103" s="56">
        <v>35</v>
      </c>
      <c r="Z103" s="56">
        <v>23</v>
      </c>
      <c r="AA103" s="56">
        <v>28</v>
      </c>
      <c r="AB103" s="56">
        <v>44</v>
      </c>
      <c r="AC103" s="56">
        <v>60</v>
      </c>
      <c r="AD103" s="56"/>
      <c r="AE103" s="56"/>
      <c r="AF103" s="56"/>
      <c r="AG103" s="63">
        <f t="shared" ref="AG103:AG110" si="38">SUM(B103:AF103)</f>
        <v>628</v>
      </c>
      <c r="AH103" s="63"/>
      <c r="AI103" s="63">
        <f>AG103+AH105+AH106+AH107</f>
        <v>628</v>
      </c>
      <c r="BE103"/>
      <c r="BF103"/>
      <c r="BG103"/>
      <c r="BH103"/>
    </row>
    <row r="104" spans="1:75" ht="21">
      <c r="A104" s="55" t="s">
        <v>22</v>
      </c>
      <c r="B104" s="125">
        <v>0</v>
      </c>
      <c r="C104" s="125">
        <v>23</v>
      </c>
      <c r="D104" s="125">
        <v>20</v>
      </c>
      <c r="E104" s="125">
        <v>31</v>
      </c>
      <c r="F104" s="125">
        <v>18</v>
      </c>
      <c r="G104" s="125">
        <v>23</v>
      </c>
      <c r="H104" s="125">
        <v>45</v>
      </c>
      <c r="I104" s="125">
        <v>0</v>
      </c>
      <c r="J104" s="125">
        <v>25</v>
      </c>
      <c r="K104" s="125">
        <v>24</v>
      </c>
      <c r="L104" s="125">
        <v>17</v>
      </c>
      <c r="M104" s="125">
        <v>15</v>
      </c>
      <c r="N104" s="125">
        <v>15</v>
      </c>
      <c r="O104" s="125">
        <v>21</v>
      </c>
      <c r="P104" s="125">
        <v>0</v>
      </c>
      <c r="Q104" s="125">
        <v>30</v>
      </c>
      <c r="R104" s="125">
        <v>20</v>
      </c>
      <c r="S104" s="125">
        <v>13</v>
      </c>
      <c r="T104" s="125">
        <v>14</v>
      </c>
      <c r="U104" s="125">
        <v>23</v>
      </c>
      <c r="V104" s="125">
        <v>34</v>
      </c>
      <c r="W104" s="125">
        <v>0</v>
      </c>
      <c r="X104" s="125">
        <v>20</v>
      </c>
      <c r="Y104" s="125">
        <v>33</v>
      </c>
      <c r="Z104" s="125">
        <v>23</v>
      </c>
      <c r="AA104" s="125">
        <v>28</v>
      </c>
      <c r="AB104" s="125">
        <v>41</v>
      </c>
      <c r="AC104" s="125">
        <v>47</v>
      </c>
      <c r="AD104" s="56"/>
      <c r="AE104" s="56"/>
      <c r="AF104" s="56"/>
      <c r="AG104" s="63">
        <f t="shared" si="38"/>
        <v>603</v>
      </c>
      <c r="AH104" s="63"/>
      <c r="AI104" s="63">
        <f>AG104+AH105+AH106+AH107</f>
        <v>603</v>
      </c>
    </row>
    <row r="105" spans="1:75" ht="21">
      <c r="A105" s="55" t="s">
        <v>23</v>
      </c>
      <c r="B105" s="125">
        <v>0</v>
      </c>
      <c r="C105" s="125">
        <v>0</v>
      </c>
      <c r="D105" s="125">
        <v>0</v>
      </c>
      <c r="E105" s="125">
        <v>0</v>
      </c>
      <c r="F105" s="125">
        <v>0</v>
      </c>
      <c r="G105" s="125">
        <v>0</v>
      </c>
      <c r="H105" s="125">
        <v>0</v>
      </c>
      <c r="I105" s="125">
        <v>0</v>
      </c>
      <c r="J105" s="125">
        <v>0</v>
      </c>
      <c r="K105" s="125">
        <v>0</v>
      </c>
      <c r="L105" s="125">
        <v>0</v>
      </c>
      <c r="M105" s="125">
        <v>0</v>
      </c>
      <c r="N105" s="125">
        <v>1</v>
      </c>
      <c r="O105" s="125">
        <v>0</v>
      </c>
      <c r="P105" s="125">
        <v>0</v>
      </c>
      <c r="Q105" s="125">
        <v>0</v>
      </c>
      <c r="R105" s="125">
        <v>0</v>
      </c>
      <c r="S105" s="125">
        <v>0</v>
      </c>
      <c r="T105" s="125">
        <v>0</v>
      </c>
      <c r="U105" s="125">
        <v>1</v>
      </c>
      <c r="V105" s="125">
        <v>0</v>
      </c>
      <c r="W105" s="125">
        <v>0</v>
      </c>
      <c r="X105" s="125">
        <v>0</v>
      </c>
      <c r="Y105" s="125">
        <v>0</v>
      </c>
      <c r="Z105" s="125">
        <v>0</v>
      </c>
      <c r="AA105" s="125">
        <v>0</v>
      </c>
      <c r="AB105" s="125">
        <v>0</v>
      </c>
      <c r="AC105" s="125">
        <v>0</v>
      </c>
      <c r="AD105" s="56"/>
      <c r="AE105" s="56"/>
      <c r="AF105" s="56"/>
      <c r="AG105" s="63">
        <f t="shared" si="38"/>
        <v>2</v>
      </c>
      <c r="AH105" s="63"/>
      <c r="AI105" s="63">
        <f t="shared" ref="AI105:AI110" si="39">AG105-AH105</f>
        <v>2</v>
      </c>
    </row>
    <row r="106" spans="1:75" ht="21">
      <c r="A106" s="55" t="s">
        <v>24</v>
      </c>
      <c r="B106" s="125">
        <v>0</v>
      </c>
      <c r="C106" s="125">
        <v>0</v>
      </c>
      <c r="D106" s="125">
        <v>0</v>
      </c>
      <c r="E106" s="125">
        <v>0</v>
      </c>
      <c r="F106" s="125">
        <v>0</v>
      </c>
      <c r="G106" s="125">
        <v>0</v>
      </c>
      <c r="H106" s="125">
        <v>0</v>
      </c>
      <c r="I106" s="125">
        <v>0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0</v>
      </c>
      <c r="R106" s="125">
        <v>0</v>
      </c>
      <c r="S106" s="125">
        <v>0</v>
      </c>
      <c r="T106" s="125">
        <v>0</v>
      </c>
      <c r="U106" s="125">
        <v>0</v>
      </c>
      <c r="V106" s="125">
        <v>0</v>
      </c>
      <c r="W106" s="125">
        <v>0</v>
      </c>
      <c r="X106" s="125">
        <v>0</v>
      </c>
      <c r="Y106" s="125">
        <v>0</v>
      </c>
      <c r="Z106" s="125">
        <v>0</v>
      </c>
      <c r="AA106" s="125">
        <v>0</v>
      </c>
      <c r="AB106" s="125">
        <v>0</v>
      </c>
      <c r="AC106" s="125">
        <v>0</v>
      </c>
      <c r="AD106" s="56"/>
      <c r="AE106" s="56"/>
      <c r="AF106" s="56"/>
      <c r="AG106" s="63">
        <f t="shared" si="38"/>
        <v>0</v>
      </c>
      <c r="AH106" s="63"/>
      <c r="AI106" s="63">
        <f t="shared" si="39"/>
        <v>0</v>
      </c>
    </row>
    <row r="107" spans="1:75" ht="21">
      <c r="A107" s="55" t="s">
        <v>26</v>
      </c>
      <c r="B107" s="125">
        <v>0</v>
      </c>
      <c r="C107" s="125">
        <v>1</v>
      </c>
      <c r="D107" s="125">
        <v>1</v>
      </c>
      <c r="E107" s="125">
        <v>0</v>
      </c>
      <c r="F107" s="125">
        <v>2</v>
      </c>
      <c r="G107" s="125">
        <v>0</v>
      </c>
      <c r="H107" s="125">
        <v>0</v>
      </c>
      <c r="I107" s="125">
        <v>0</v>
      </c>
      <c r="J107" s="125">
        <v>0</v>
      </c>
      <c r="K107" s="125">
        <v>0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125">
        <v>0</v>
      </c>
      <c r="R107" s="125">
        <v>0</v>
      </c>
      <c r="S107" s="125">
        <v>0</v>
      </c>
      <c r="T107" s="125">
        <v>1</v>
      </c>
      <c r="U107" s="125">
        <v>0</v>
      </c>
      <c r="V107" s="125">
        <v>0</v>
      </c>
      <c r="W107" s="125">
        <v>0</v>
      </c>
      <c r="X107" s="125">
        <v>0</v>
      </c>
      <c r="Y107" s="125">
        <v>2</v>
      </c>
      <c r="Z107" s="125">
        <v>0</v>
      </c>
      <c r="AA107" s="125">
        <v>0</v>
      </c>
      <c r="AB107" s="125">
        <v>3</v>
      </c>
      <c r="AC107" s="125">
        <v>13</v>
      </c>
      <c r="AD107" s="56"/>
      <c r="AE107" s="56"/>
      <c r="AF107" s="56"/>
      <c r="AG107" s="63">
        <f t="shared" si="38"/>
        <v>23</v>
      </c>
      <c r="AH107" s="63"/>
      <c r="AI107" s="63">
        <f t="shared" si="39"/>
        <v>23</v>
      </c>
    </row>
    <row r="108" spans="1:75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8"/>
        <v>0</v>
      </c>
      <c r="AH108" s="70"/>
      <c r="AI108" s="63">
        <f t="shared" si="39"/>
        <v>0</v>
      </c>
    </row>
    <row r="109" spans="1:75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8"/>
        <v>0</v>
      </c>
      <c r="AH109" s="71"/>
      <c r="AI109" s="63">
        <f t="shared" si="39"/>
        <v>0</v>
      </c>
    </row>
    <row r="110" spans="1:75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8"/>
        <v>0</v>
      </c>
      <c r="AH110" s="63"/>
      <c r="AI110" s="63">
        <f t="shared" si="39"/>
        <v>0</v>
      </c>
    </row>
    <row r="111" spans="1:75">
      <c r="AA111">
        <f>48-27</f>
        <v>21</v>
      </c>
    </row>
    <row r="118" spans="26:26"/>
  </sheetData>
  <mergeCells count="18">
    <mergeCell ref="A100:AG100"/>
    <mergeCell ref="AK16:AV17"/>
    <mergeCell ref="A23:AG23"/>
    <mergeCell ref="AY27:AZ27"/>
    <mergeCell ref="AY28:AZ28"/>
    <mergeCell ref="AY29:AZ29"/>
    <mergeCell ref="A34:AG34"/>
    <mergeCell ref="A45:AG45"/>
    <mergeCell ref="A56:AG56"/>
    <mergeCell ref="A67:AG67"/>
    <mergeCell ref="A78:AG78"/>
    <mergeCell ref="A89:AG89"/>
    <mergeCell ref="AK14:AV15"/>
    <mergeCell ref="A1:AG1"/>
    <mergeCell ref="AK1:AV2"/>
    <mergeCell ref="AX1:BB2"/>
    <mergeCell ref="BE1:BH2"/>
    <mergeCell ref="A12:AG1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4BC7-854F-4DD3-B43D-10C12EF13B72}">
  <dimension ref="A1:BW110"/>
  <sheetViews>
    <sheetView showGridLines="0" zoomScale="50" zoomScaleNormal="50" workbookViewId="0">
      <pane xSplit="1" topLeftCell="AE1" activePane="topRight" state="frozen"/>
      <selection pane="topRight" activeCell="AR34" sqref="AR34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3" width="16.42578125" customWidth="1"/>
    <col min="24" max="24" width="16.42578125" style="2" customWidth="1"/>
    <col min="25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8" width="9.42578125" style="3" customWidth="1"/>
    <col min="39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5" width="24.28515625" style="3" customWidth="1"/>
    <col min="46" max="46" width="30.42578125" style="3" customWidth="1"/>
    <col min="47" max="47" width="21.140625" style="3" customWidth="1"/>
    <col min="48" max="48" width="10.5703125" style="3" customWidth="1"/>
    <col min="50" max="50" width="33.5703125" customWidth="1"/>
    <col min="51" max="52" width="28.7109375" customWidth="1"/>
    <col min="53" max="53" width="29.85546875" customWidth="1"/>
    <col min="54" max="54" width="17" customWidth="1"/>
    <col min="57" max="57" width="14.140625" style="2" customWidth="1"/>
    <col min="58" max="58" width="17.7109375" style="2" customWidth="1"/>
    <col min="59" max="59" width="25.42578125" style="2" customWidth="1"/>
    <col min="60" max="60" width="26.5703125" style="2" customWidth="1"/>
  </cols>
  <sheetData>
    <row r="1" spans="1:60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272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3"/>
      <c r="AX1" s="257" t="s">
        <v>1</v>
      </c>
      <c r="AY1" s="258"/>
      <c r="AZ1" s="258"/>
      <c r="BA1" s="258"/>
      <c r="BB1" s="259"/>
      <c r="BE1" s="263"/>
      <c r="BF1" s="263"/>
      <c r="BG1" s="263"/>
      <c r="BH1" s="263"/>
    </row>
    <row r="2" spans="1:60" s="1" customFormat="1" ht="23.25" customHeight="1" thickBot="1">
      <c r="A2" s="53"/>
      <c r="B2" s="54">
        <v>46082</v>
      </c>
      <c r="C2" s="54">
        <v>46083</v>
      </c>
      <c r="D2" s="54">
        <v>46084</v>
      </c>
      <c r="E2" s="54">
        <v>46085</v>
      </c>
      <c r="F2" s="54">
        <v>46086</v>
      </c>
      <c r="G2" s="54">
        <v>46087</v>
      </c>
      <c r="H2" s="54">
        <v>46088</v>
      </c>
      <c r="I2" s="54">
        <v>46089</v>
      </c>
      <c r="J2" s="54">
        <v>46090</v>
      </c>
      <c r="K2" s="54">
        <v>46091</v>
      </c>
      <c r="L2" s="54">
        <v>46092</v>
      </c>
      <c r="M2" s="54">
        <v>46093</v>
      </c>
      <c r="N2" s="54">
        <v>46094</v>
      </c>
      <c r="O2" s="54">
        <v>46095</v>
      </c>
      <c r="P2" s="54">
        <v>46096</v>
      </c>
      <c r="Q2" s="54">
        <v>46097</v>
      </c>
      <c r="R2" s="54">
        <v>46098</v>
      </c>
      <c r="S2" s="54">
        <v>46099</v>
      </c>
      <c r="T2" s="54">
        <v>46100</v>
      </c>
      <c r="U2" s="54">
        <v>46101</v>
      </c>
      <c r="V2" s="54">
        <v>46102</v>
      </c>
      <c r="W2" s="54">
        <v>46103</v>
      </c>
      <c r="X2" s="54">
        <v>46104</v>
      </c>
      <c r="Y2" s="54">
        <v>46105</v>
      </c>
      <c r="Z2" s="54">
        <v>46106</v>
      </c>
      <c r="AA2" s="54">
        <v>46107</v>
      </c>
      <c r="AB2" s="54">
        <v>46108</v>
      </c>
      <c r="AC2" s="54">
        <v>46109</v>
      </c>
      <c r="AD2" s="54">
        <v>46110</v>
      </c>
      <c r="AE2" s="54">
        <v>46111</v>
      </c>
      <c r="AF2" s="54">
        <v>46112</v>
      </c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6"/>
      <c r="AX2" s="260"/>
      <c r="AY2" s="261"/>
      <c r="AZ2" s="261"/>
      <c r="BA2" s="261"/>
      <c r="BB2" s="262"/>
      <c r="BE2" s="263"/>
      <c r="BF2" s="263"/>
      <c r="BG2" s="263"/>
      <c r="BH2" s="263"/>
    </row>
    <row r="3" spans="1:60" ht="21.75" thickBot="1">
      <c r="A3" s="55" t="s">
        <v>5</v>
      </c>
      <c r="B3" s="56">
        <v>61</v>
      </c>
      <c r="C3" s="56">
        <v>40</v>
      </c>
      <c r="D3" s="56">
        <v>37</v>
      </c>
      <c r="E3" s="56">
        <v>33</v>
      </c>
      <c r="F3" s="56">
        <v>35</v>
      </c>
      <c r="G3" s="56">
        <v>43</v>
      </c>
      <c r="H3" s="56">
        <v>86</v>
      </c>
      <c r="I3" s="56">
        <v>49</v>
      </c>
      <c r="J3" s="56">
        <v>32</v>
      </c>
      <c r="K3" s="56">
        <v>23</v>
      </c>
      <c r="L3" s="56">
        <v>35</v>
      </c>
      <c r="M3" s="56">
        <v>31</v>
      </c>
      <c r="N3" s="56">
        <v>35</v>
      </c>
      <c r="O3" s="56">
        <v>82</v>
      </c>
      <c r="P3" s="56">
        <v>46</v>
      </c>
      <c r="Q3" s="56">
        <v>38</v>
      </c>
      <c r="R3" s="56">
        <v>31</v>
      </c>
      <c r="S3" s="56">
        <v>38</v>
      </c>
      <c r="T3" s="56">
        <v>36</v>
      </c>
      <c r="U3" s="56">
        <v>36</v>
      </c>
      <c r="V3" s="56">
        <v>65</v>
      </c>
      <c r="W3" s="56">
        <v>44</v>
      </c>
      <c r="X3" s="56">
        <v>20</v>
      </c>
      <c r="Y3" s="56">
        <v>20</v>
      </c>
      <c r="Z3" s="56">
        <v>26</v>
      </c>
      <c r="AA3" s="56">
        <v>26</v>
      </c>
      <c r="AB3" s="56">
        <v>32</v>
      </c>
      <c r="AC3" s="56">
        <v>68</v>
      </c>
      <c r="AD3" s="56">
        <v>51</v>
      </c>
      <c r="AE3" s="56">
        <v>22</v>
      </c>
      <c r="AF3" s="56">
        <v>46</v>
      </c>
      <c r="AG3" s="63">
        <f>SUM(B3:AF3)</f>
        <v>1267</v>
      </c>
      <c r="AH3" s="63"/>
      <c r="AI3" s="63">
        <f>AG3</f>
        <v>1267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14</v>
      </c>
      <c r="AU3" s="65" t="s">
        <v>15</v>
      </c>
      <c r="AV3" s="84" t="s">
        <v>2</v>
      </c>
      <c r="AX3" s="85" t="s">
        <v>16</v>
      </c>
      <c r="AY3" s="86" t="s">
        <v>17</v>
      </c>
      <c r="AZ3" s="86" t="s">
        <v>18</v>
      </c>
      <c r="BA3" s="86" t="s">
        <v>19</v>
      </c>
      <c r="BB3" s="86" t="s">
        <v>20</v>
      </c>
      <c r="BE3" s="110"/>
      <c r="BF3" s="110"/>
      <c r="BG3" s="111"/>
      <c r="BH3" s="110"/>
    </row>
    <row r="4" spans="1:60" ht="21">
      <c r="A4" s="55" t="s">
        <v>21</v>
      </c>
      <c r="B4" s="56">
        <v>35</v>
      </c>
      <c r="C4" s="56">
        <v>24</v>
      </c>
      <c r="D4" s="56">
        <v>24</v>
      </c>
      <c r="E4" s="56">
        <v>21</v>
      </c>
      <c r="F4" s="56">
        <v>16</v>
      </c>
      <c r="G4" s="56">
        <v>23</v>
      </c>
      <c r="H4" s="56">
        <v>48</v>
      </c>
      <c r="I4" s="56">
        <v>20</v>
      </c>
      <c r="J4" s="56">
        <v>20</v>
      </c>
      <c r="K4" s="56">
        <v>15</v>
      </c>
      <c r="L4" s="56">
        <v>19</v>
      </c>
      <c r="M4" s="56">
        <v>16</v>
      </c>
      <c r="N4" s="56">
        <v>20</v>
      </c>
      <c r="O4" s="56">
        <v>49</v>
      </c>
      <c r="P4" s="56">
        <v>24</v>
      </c>
      <c r="Q4" s="56">
        <v>22</v>
      </c>
      <c r="R4" s="56">
        <v>23</v>
      </c>
      <c r="S4" s="56">
        <v>25</v>
      </c>
      <c r="T4" s="56">
        <v>21</v>
      </c>
      <c r="U4" s="56">
        <v>22</v>
      </c>
      <c r="V4" s="56">
        <v>41</v>
      </c>
      <c r="W4" s="56">
        <v>30</v>
      </c>
      <c r="X4" s="56">
        <v>14</v>
      </c>
      <c r="Y4" s="56">
        <v>7</v>
      </c>
      <c r="Z4" s="56">
        <v>12</v>
      </c>
      <c r="AA4" s="56">
        <v>18</v>
      </c>
      <c r="AB4" s="56">
        <v>16</v>
      </c>
      <c r="AC4" s="56">
        <v>38</v>
      </c>
      <c r="AD4" s="56">
        <v>28</v>
      </c>
      <c r="AE4" s="56">
        <v>11</v>
      </c>
      <c r="AF4" s="56">
        <v>25</v>
      </c>
      <c r="AG4" s="63">
        <f t="shared" ref="AG4:AG11" si="0">SUM(B4:AF4)</f>
        <v>727</v>
      </c>
      <c r="AH4" s="63"/>
      <c r="AI4" s="63">
        <f>AG4+AH6+AH7+AH8</f>
        <v>727</v>
      </c>
      <c r="AK4" s="66" t="s">
        <v>5</v>
      </c>
      <c r="AL4" s="67">
        <f>AI3</f>
        <v>1267</v>
      </c>
      <c r="AM4" s="67">
        <f t="shared" ref="AM4:AM12" si="1">AI14</f>
        <v>930</v>
      </c>
      <c r="AN4" s="67">
        <f t="shared" ref="AN4:AN12" si="2">AI25</f>
        <v>898</v>
      </c>
      <c r="AO4" s="67">
        <f t="shared" ref="AO4:AO12" si="3">AI36</f>
        <v>538</v>
      </c>
      <c r="AP4" s="67">
        <f t="shared" ref="AP4:AP12" si="4">AI47</f>
        <v>782</v>
      </c>
      <c r="AQ4" s="67">
        <f t="shared" ref="AQ4:AQ12" si="5">AI58</f>
        <v>806</v>
      </c>
      <c r="AR4" s="67">
        <f t="shared" ref="AR4:AR12" si="6">AI69</f>
        <v>1025</v>
      </c>
      <c r="AS4" s="67">
        <f t="shared" ref="AS4:AS12" si="7">AI80</f>
        <v>1279</v>
      </c>
      <c r="AT4" s="67">
        <f t="shared" ref="AT4:AT12" si="8">AI91</f>
        <v>1177</v>
      </c>
      <c r="AU4" s="67">
        <f t="shared" ref="AU4:AU12" si="9">AI102</f>
        <v>1085</v>
      </c>
      <c r="AV4" s="87">
        <f>SUM(AL4:AU4)</f>
        <v>9787</v>
      </c>
      <c r="AX4" s="88">
        <v>1</v>
      </c>
      <c r="AY4" s="88" t="s">
        <v>7</v>
      </c>
      <c r="AZ4" s="88">
        <f>AL5</f>
        <v>727</v>
      </c>
      <c r="BA4" s="88">
        <f>AL7+AL9</f>
        <v>34</v>
      </c>
      <c r="BB4" s="89">
        <f>BA4/AZ4</f>
        <v>4.676753782668501E-2</v>
      </c>
      <c r="BE4" s="112"/>
      <c r="BF4" s="112"/>
      <c r="BG4" s="113"/>
      <c r="BH4" s="112"/>
    </row>
    <row r="5" spans="1:60" ht="21">
      <c r="A5" s="55" t="s">
        <v>22</v>
      </c>
      <c r="B5" s="147">
        <v>27</v>
      </c>
      <c r="C5" s="147">
        <v>21</v>
      </c>
      <c r="D5" s="147">
        <v>24</v>
      </c>
      <c r="E5" s="147">
        <v>19</v>
      </c>
      <c r="F5" s="147">
        <v>16</v>
      </c>
      <c r="G5" s="147">
        <v>22</v>
      </c>
      <c r="H5" s="147">
        <v>48</v>
      </c>
      <c r="I5" s="147">
        <v>18</v>
      </c>
      <c r="J5" s="147">
        <v>20</v>
      </c>
      <c r="K5" s="147">
        <v>14</v>
      </c>
      <c r="L5" s="147">
        <v>17</v>
      </c>
      <c r="M5" s="147">
        <v>16</v>
      </c>
      <c r="N5" s="147">
        <v>19</v>
      </c>
      <c r="O5" s="147">
        <v>49</v>
      </c>
      <c r="P5" s="147">
        <v>23</v>
      </c>
      <c r="Q5" s="147">
        <v>21</v>
      </c>
      <c r="R5" s="147">
        <v>21</v>
      </c>
      <c r="S5" s="147">
        <v>23</v>
      </c>
      <c r="T5" s="147">
        <v>21</v>
      </c>
      <c r="U5" s="147">
        <v>21</v>
      </c>
      <c r="V5" s="147">
        <v>37</v>
      </c>
      <c r="W5" s="147">
        <v>29</v>
      </c>
      <c r="X5" s="147">
        <v>14</v>
      </c>
      <c r="Y5" s="147">
        <v>6</v>
      </c>
      <c r="Z5" s="147">
        <v>12</v>
      </c>
      <c r="AA5" s="147">
        <v>18</v>
      </c>
      <c r="AB5" s="147">
        <v>15</v>
      </c>
      <c r="AC5" s="147">
        <v>37</v>
      </c>
      <c r="AD5" s="147">
        <v>28</v>
      </c>
      <c r="AE5" s="147">
        <v>11</v>
      </c>
      <c r="AF5" s="147">
        <v>23</v>
      </c>
      <c r="AG5" s="63">
        <f t="shared" si="0"/>
        <v>690</v>
      </c>
      <c r="AH5" s="63"/>
      <c r="AI5" s="63">
        <f t="shared" ref="AI5:AI11" si="10">AG5-AH5</f>
        <v>690</v>
      </c>
      <c r="AK5" s="66" t="s">
        <v>21</v>
      </c>
      <c r="AL5" s="67">
        <f t="shared" ref="AL5:AL12" si="11">AI4</f>
        <v>727</v>
      </c>
      <c r="AM5" s="67">
        <f t="shared" si="1"/>
        <v>495</v>
      </c>
      <c r="AN5" s="67">
        <f t="shared" si="2"/>
        <v>580</v>
      </c>
      <c r="AO5" s="67">
        <f t="shared" si="3"/>
        <v>410</v>
      </c>
      <c r="AP5" s="67">
        <f t="shared" si="4"/>
        <v>450</v>
      </c>
      <c r="AQ5" s="67">
        <f t="shared" si="5"/>
        <v>477</v>
      </c>
      <c r="AR5" s="67">
        <f t="shared" si="6"/>
        <v>548</v>
      </c>
      <c r="AS5" s="67">
        <f t="shared" si="7"/>
        <v>672</v>
      </c>
      <c r="AT5" s="67">
        <f t="shared" si="8"/>
        <v>656</v>
      </c>
      <c r="AU5" s="67">
        <f t="shared" si="9"/>
        <v>544</v>
      </c>
      <c r="AV5" s="87">
        <f t="shared" ref="AV5:AV12" si="12">SUM(AL5:AU5)</f>
        <v>5559</v>
      </c>
      <c r="AX5" s="90">
        <v>2</v>
      </c>
      <c r="AY5" s="90" t="s">
        <v>8</v>
      </c>
      <c r="AZ5" s="90">
        <f>AM5</f>
        <v>495</v>
      </c>
      <c r="BA5" s="90">
        <f>AM7+AM9</f>
        <v>18</v>
      </c>
      <c r="BB5" s="89">
        <f t="shared" ref="BB5:BB13" si="13">BA5/AZ5</f>
        <v>3.6363636363636362E-2</v>
      </c>
      <c r="BE5" s="112"/>
      <c r="BF5" s="112"/>
      <c r="BG5" s="113"/>
      <c r="BH5" s="114"/>
    </row>
    <row r="6" spans="1:60" ht="21">
      <c r="A6" s="55" t="s">
        <v>23</v>
      </c>
      <c r="B6" s="147">
        <v>0</v>
      </c>
      <c r="C6" s="147">
        <v>0</v>
      </c>
      <c r="D6" s="147">
        <v>0</v>
      </c>
      <c r="E6" s="147">
        <v>0</v>
      </c>
      <c r="F6" s="147">
        <v>0</v>
      </c>
      <c r="G6" s="147">
        <v>0</v>
      </c>
      <c r="H6" s="147">
        <v>0</v>
      </c>
      <c r="I6" s="147">
        <v>0</v>
      </c>
      <c r="J6" s="147">
        <v>0</v>
      </c>
      <c r="K6" s="147">
        <v>0</v>
      </c>
      <c r="L6" s="147">
        <v>1</v>
      </c>
      <c r="M6" s="147">
        <v>0</v>
      </c>
      <c r="N6" s="147">
        <v>0</v>
      </c>
      <c r="O6" s="147">
        <v>0</v>
      </c>
      <c r="P6" s="147">
        <v>1</v>
      </c>
      <c r="Q6" s="147">
        <v>0</v>
      </c>
      <c r="R6" s="147">
        <v>0</v>
      </c>
      <c r="S6" s="147">
        <v>1</v>
      </c>
      <c r="T6" s="147">
        <v>0</v>
      </c>
      <c r="U6" s="147">
        <v>0</v>
      </c>
      <c r="V6" s="147">
        <v>0</v>
      </c>
      <c r="W6" s="147">
        <v>0</v>
      </c>
      <c r="X6" s="147">
        <v>0</v>
      </c>
      <c r="Y6" s="147">
        <v>1</v>
      </c>
      <c r="Z6" s="147">
        <v>0</v>
      </c>
      <c r="AA6" s="147">
        <v>0</v>
      </c>
      <c r="AB6" s="147">
        <v>0</v>
      </c>
      <c r="AC6" s="147">
        <v>1</v>
      </c>
      <c r="AD6" s="147">
        <v>0</v>
      </c>
      <c r="AE6" s="147">
        <v>0</v>
      </c>
      <c r="AF6" s="147">
        <v>1</v>
      </c>
      <c r="AG6" s="63">
        <f t="shared" si="0"/>
        <v>6</v>
      </c>
      <c r="AH6" s="63"/>
      <c r="AI6" s="63">
        <f t="shared" si="10"/>
        <v>6</v>
      </c>
      <c r="AK6" s="68" t="s">
        <v>22</v>
      </c>
      <c r="AL6" s="69">
        <f t="shared" si="11"/>
        <v>690</v>
      </c>
      <c r="AM6" s="69">
        <f t="shared" si="1"/>
        <v>476</v>
      </c>
      <c r="AN6" s="69">
        <f t="shared" si="2"/>
        <v>543</v>
      </c>
      <c r="AO6" s="69">
        <f t="shared" si="3"/>
        <v>377</v>
      </c>
      <c r="AP6" s="69">
        <f t="shared" si="4"/>
        <v>425</v>
      </c>
      <c r="AQ6" s="69">
        <f t="shared" si="5"/>
        <v>442</v>
      </c>
      <c r="AR6" s="69">
        <f t="shared" si="6"/>
        <v>493</v>
      </c>
      <c r="AS6" s="69">
        <f t="shared" si="7"/>
        <v>585</v>
      </c>
      <c r="AT6" s="69">
        <f t="shared" si="8"/>
        <v>637</v>
      </c>
      <c r="AU6" s="69">
        <f t="shared" si="9"/>
        <v>530</v>
      </c>
      <c r="AV6" s="91">
        <f t="shared" si="12"/>
        <v>5198</v>
      </c>
      <c r="AX6" s="90">
        <v>3</v>
      </c>
      <c r="AY6" s="90" t="s">
        <v>9</v>
      </c>
      <c r="AZ6" s="90">
        <f>AN5</f>
        <v>580</v>
      </c>
      <c r="BA6" s="90">
        <f>AN7+AN9</f>
        <v>35</v>
      </c>
      <c r="BB6" s="89">
        <f t="shared" si="13"/>
        <v>6.0344827586206899E-2</v>
      </c>
      <c r="BE6" s="112"/>
      <c r="BF6" s="112"/>
      <c r="BG6" s="113"/>
      <c r="BH6" s="112"/>
    </row>
    <row r="7" spans="1:60" ht="21">
      <c r="A7" s="55" t="s">
        <v>24</v>
      </c>
      <c r="B7" s="147">
        <v>0</v>
      </c>
      <c r="C7" s="147">
        <v>0</v>
      </c>
      <c r="D7" s="147">
        <v>0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0</v>
      </c>
      <c r="K7" s="147">
        <v>0</v>
      </c>
      <c r="L7" s="147">
        <v>0</v>
      </c>
      <c r="M7" s="147">
        <v>0</v>
      </c>
      <c r="N7" s="147">
        <v>0</v>
      </c>
      <c r="O7" s="147">
        <v>0</v>
      </c>
      <c r="P7" s="147">
        <v>0</v>
      </c>
      <c r="Q7" s="147">
        <v>1</v>
      </c>
      <c r="R7" s="147">
        <v>1</v>
      </c>
      <c r="S7" s="147">
        <v>0</v>
      </c>
      <c r="T7" s="147">
        <v>0</v>
      </c>
      <c r="U7" s="147">
        <v>0</v>
      </c>
      <c r="V7" s="147">
        <v>1</v>
      </c>
      <c r="W7" s="147">
        <v>0</v>
      </c>
      <c r="X7" s="147">
        <v>0</v>
      </c>
      <c r="Y7" s="147">
        <v>0</v>
      </c>
      <c r="Z7" s="147">
        <v>0</v>
      </c>
      <c r="AA7" s="147">
        <v>0</v>
      </c>
      <c r="AB7" s="147">
        <v>0</v>
      </c>
      <c r="AC7" s="147">
        <v>0</v>
      </c>
      <c r="AD7" s="147">
        <v>0</v>
      </c>
      <c r="AE7" s="147">
        <v>0</v>
      </c>
      <c r="AF7" s="147">
        <v>0</v>
      </c>
      <c r="AG7" s="63">
        <f t="shared" si="0"/>
        <v>3</v>
      </c>
      <c r="AH7" s="63"/>
      <c r="AI7" s="63">
        <f t="shared" si="10"/>
        <v>3</v>
      </c>
      <c r="AK7" s="68" t="s">
        <v>23</v>
      </c>
      <c r="AL7" s="69">
        <f t="shared" si="11"/>
        <v>6</v>
      </c>
      <c r="AM7" s="69">
        <f t="shared" si="1"/>
        <v>7</v>
      </c>
      <c r="AN7" s="69">
        <f t="shared" si="2"/>
        <v>20</v>
      </c>
      <c r="AO7" s="69">
        <f t="shared" si="3"/>
        <v>12</v>
      </c>
      <c r="AP7" s="69">
        <f t="shared" si="4"/>
        <v>2</v>
      </c>
      <c r="AQ7" s="69">
        <f t="shared" si="5"/>
        <v>6</v>
      </c>
      <c r="AR7" s="69">
        <f t="shared" si="6"/>
        <v>9</v>
      </c>
      <c r="AS7" s="69">
        <f t="shared" si="7"/>
        <v>13</v>
      </c>
      <c r="AT7" s="69">
        <f t="shared" si="8"/>
        <v>1</v>
      </c>
      <c r="AU7" s="69">
        <f t="shared" si="9"/>
        <v>3</v>
      </c>
      <c r="AV7" s="91">
        <f t="shared" si="12"/>
        <v>79</v>
      </c>
      <c r="AX7" s="90">
        <v>4</v>
      </c>
      <c r="AY7" s="90" t="s">
        <v>25</v>
      </c>
      <c r="AZ7" s="90">
        <f>AO5</f>
        <v>410</v>
      </c>
      <c r="BA7" s="90">
        <f>AO7+AO9</f>
        <v>18</v>
      </c>
      <c r="BB7" s="89">
        <f t="shared" si="13"/>
        <v>4.3902439024390241E-2</v>
      </c>
      <c r="BE7" s="112"/>
      <c r="BF7" s="112"/>
      <c r="BG7" s="113"/>
      <c r="BH7" s="114"/>
    </row>
    <row r="8" spans="1:60" ht="21">
      <c r="A8" s="55" t="s">
        <v>26</v>
      </c>
      <c r="B8" s="147">
        <v>8</v>
      </c>
      <c r="C8" s="147">
        <v>3</v>
      </c>
      <c r="D8" s="147">
        <v>0</v>
      </c>
      <c r="E8" s="147">
        <v>2</v>
      </c>
      <c r="F8" s="147">
        <v>0</v>
      </c>
      <c r="G8" s="147">
        <v>1</v>
      </c>
      <c r="H8" s="147">
        <v>0</v>
      </c>
      <c r="I8" s="147">
        <v>2</v>
      </c>
      <c r="J8" s="147">
        <v>0</v>
      </c>
      <c r="K8" s="147">
        <v>1</v>
      </c>
      <c r="L8" s="147">
        <v>1</v>
      </c>
      <c r="M8" s="147">
        <v>0</v>
      </c>
      <c r="N8" s="147">
        <v>1</v>
      </c>
      <c r="O8" s="147">
        <v>0</v>
      </c>
      <c r="P8" s="147">
        <v>0</v>
      </c>
      <c r="Q8" s="147">
        <v>0</v>
      </c>
      <c r="R8" s="147">
        <v>1</v>
      </c>
      <c r="S8" s="147">
        <v>1</v>
      </c>
      <c r="T8" s="147">
        <v>0</v>
      </c>
      <c r="U8" s="147">
        <v>1</v>
      </c>
      <c r="V8" s="147">
        <v>3</v>
      </c>
      <c r="W8" s="147">
        <v>1</v>
      </c>
      <c r="X8" s="147">
        <v>0</v>
      </c>
      <c r="Y8" s="147">
        <v>0</v>
      </c>
      <c r="Z8" s="147">
        <v>0</v>
      </c>
      <c r="AA8" s="147">
        <v>0</v>
      </c>
      <c r="AB8" s="147">
        <v>1</v>
      </c>
      <c r="AC8" s="147">
        <v>0</v>
      </c>
      <c r="AD8" s="147">
        <v>0</v>
      </c>
      <c r="AE8" s="147">
        <v>0</v>
      </c>
      <c r="AF8" s="147">
        <v>1</v>
      </c>
      <c r="AG8" s="63">
        <f t="shared" si="0"/>
        <v>28</v>
      </c>
      <c r="AH8" s="63"/>
      <c r="AI8" s="63">
        <f t="shared" si="10"/>
        <v>28</v>
      </c>
      <c r="AJ8" t="s">
        <v>27</v>
      </c>
      <c r="AK8" s="68" t="s">
        <v>24</v>
      </c>
      <c r="AL8" s="69">
        <f t="shared" si="11"/>
        <v>3</v>
      </c>
      <c r="AM8" s="69">
        <f t="shared" si="1"/>
        <v>1</v>
      </c>
      <c r="AN8" s="69">
        <f t="shared" si="2"/>
        <v>2</v>
      </c>
      <c r="AO8" s="69">
        <f t="shared" si="3"/>
        <v>15</v>
      </c>
      <c r="AP8" s="69">
        <f t="shared" si="4"/>
        <v>7</v>
      </c>
      <c r="AQ8" s="69">
        <f t="shared" si="5"/>
        <v>4</v>
      </c>
      <c r="AR8" s="69">
        <f t="shared" si="6"/>
        <v>1</v>
      </c>
      <c r="AS8" s="69">
        <f t="shared" si="7"/>
        <v>2</v>
      </c>
      <c r="AT8" s="69">
        <f t="shared" si="8"/>
        <v>0</v>
      </c>
      <c r="AU8" s="69">
        <f t="shared" si="9"/>
        <v>0</v>
      </c>
      <c r="AV8" s="91">
        <f t="shared" si="12"/>
        <v>35</v>
      </c>
      <c r="AX8" s="90">
        <v>5</v>
      </c>
      <c r="AY8" s="90" t="s">
        <v>11</v>
      </c>
      <c r="AZ8" s="90">
        <f>AP5</f>
        <v>450</v>
      </c>
      <c r="BA8" s="90">
        <f>AP7+AP9</f>
        <v>18</v>
      </c>
      <c r="BB8" s="89">
        <f t="shared" si="13"/>
        <v>0.04</v>
      </c>
      <c r="BE8" s="112"/>
      <c r="BF8" s="112"/>
      <c r="BG8" s="113"/>
      <c r="BH8" s="114"/>
    </row>
    <row r="9" spans="1:60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171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0"/>
        <v>0</v>
      </c>
      <c r="AK9" s="68" t="s">
        <v>26</v>
      </c>
      <c r="AL9" s="69">
        <f t="shared" si="11"/>
        <v>28</v>
      </c>
      <c r="AM9" s="69">
        <f t="shared" si="1"/>
        <v>11</v>
      </c>
      <c r="AN9" s="69">
        <f t="shared" si="2"/>
        <v>15</v>
      </c>
      <c r="AO9" s="69">
        <f t="shared" si="3"/>
        <v>6</v>
      </c>
      <c r="AP9" s="69">
        <f t="shared" si="4"/>
        <v>16</v>
      </c>
      <c r="AQ9" s="69">
        <f t="shared" si="5"/>
        <v>25</v>
      </c>
      <c r="AR9" s="69">
        <f t="shared" si="6"/>
        <v>45</v>
      </c>
      <c r="AS9" s="69">
        <f t="shared" si="7"/>
        <v>72</v>
      </c>
      <c r="AT9" s="69">
        <f t="shared" si="8"/>
        <v>18</v>
      </c>
      <c r="AU9" s="69">
        <f t="shared" si="9"/>
        <v>11</v>
      </c>
      <c r="AV9" s="91">
        <f t="shared" si="12"/>
        <v>247</v>
      </c>
      <c r="AX9" s="90">
        <v>6</v>
      </c>
      <c r="AY9" s="90" t="s">
        <v>13</v>
      </c>
      <c r="AZ9" s="90">
        <f>AQ5</f>
        <v>477</v>
      </c>
      <c r="BA9" s="90">
        <f>AQ7+AQ9</f>
        <v>31</v>
      </c>
      <c r="BB9" s="89">
        <f t="shared" si="13"/>
        <v>6.4989517819706494E-2</v>
      </c>
      <c r="BE9" s="112"/>
      <c r="BF9" s="112"/>
      <c r="BG9" s="113"/>
      <c r="BH9" s="112"/>
    </row>
    <row r="10" spans="1:60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172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0"/>
        <v>0</v>
      </c>
      <c r="AK10" s="66" t="s">
        <v>28</v>
      </c>
      <c r="AL10" s="67">
        <f t="shared" si="11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87">
        <f t="shared" si="12"/>
        <v>0</v>
      </c>
      <c r="AX10" s="90">
        <v>7</v>
      </c>
      <c r="AY10" s="90" t="s">
        <v>125</v>
      </c>
      <c r="AZ10" s="90">
        <f>AR5</f>
        <v>548</v>
      </c>
      <c r="BA10" s="90">
        <f>AR7+AR9</f>
        <v>54</v>
      </c>
      <c r="BB10" s="89">
        <f t="shared" si="13"/>
        <v>9.8540145985401464E-2</v>
      </c>
      <c r="BE10" s="112"/>
      <c r="BF10" s="112"/>
      <c r="BG10" s="113"/>
      <c r="BH10" s="112"/>
    </row>
    <row r="11" spans="1:60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171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0"/>
        <v>0</v>
      </c>
      <c r="AK11" s="66" t="s">
        <v>29</v>
      </c>
      <c r="AL11" s="72">
        <f t="shared" si="11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72">
        <f t="shared" si="8"/>
        <v>0</v>
      </c>
      <c r="AU11" s="72">
        <f t="shared" si="9"/>
        <v>0</v>
      </c>
      <c r="AV11" s="92">
        <f t="shared" si="12"/>
        <v>0</v>
      </c>
      <c r="AX11" s="90">
        <v>8</v>
      </c>
      <c r="AY11" s="90" t="s">
        <v>126</v>
      </c>
      <c r="AZ11" s="90">
        <f>AS5</f>
        <v>672</v>
      </c>
      <c r="BA11" s="90">
        <f>AS7+AS9</f>
        <v>85</v>
      </c>
      <c r="BB11" s="89">
        <f t="shared" si="13"/>
        <v>0.12648809523809523</v>
      </c>
      <c r="BE11" s="112"/>
      <c r="BF11" s="112"/>
      <c r="BG11" s="113"/>
      <c r="BH11" s="112"/>
    </row>
    <row r="12" spans="1:60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1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72">
        <f t="shared" si="8"/>
        <v>0</v>
      </c>
      <c r="AU12" s="72">
        <f t="shared" si="9"/>
        <v>0</v>
      </c>
      <c r="AV12" s="92">
        <f t="shared" si="12"/>
        <v>0</v>
      </c>
      <c r="AX12" s="90">
        <v>9</v>
      </c>
      <c r="AY12" s="90" t="s">
        <v>14</v>
      </c>
      <c r="AZ12" s="90">
        <f>AT5</f>
        <v>656</v>
      </c>
      <c r="BA12" s="90">
        <f>AT7+AT9</f>
        <v>19</v>
      </c>
      <c r="BB12" s="89">
        <f t="shared" si="13"/>
        <v>2.8963414634146343E-2</v>
      </c>
      <c r="BE12" s="112"/>
      <c r="BF12" s="112"/>
      <c r="BG12" s="113"/>
      <c r="BH12" s="114"/>
    </row>
    <row r="13" spans="1:60" ht="21">
      <c r="A13" s="53"/>
      <c r="B13" s="54">
        <v>46082</v>
      </c>
      <c r="C13" s="54">
        <v>46083</v>
      </c>
      <c r="D13" s="54">
        <v>46084</v>
      </c>
      <c r="E13" s="54">
        <v>46085</v>
      </c>
      <c r="F13" s="54">
        <v>46086</v>
      </c>
      <c r="G13" s="54">
        <v>46087</v>
      </c>
      <c r="H13" s="54">
        <v>46088</v>
      </c>
      <c r="I13" s="54">
        <v>46089</v>
      </c>
      <c r="J13" s="54">
        <v>46090</v>
      </c>
      <c r="K13" s="54">
        <v>46091</v>
      </c>
      <c r="L13" s="54">
        <v>46092</v>
      </c>
      <c r="M13" s="54">
        <v>46093</v>
      </c>
      <c r="N13" s="54">
        <v>46094</v>
      </c>
      <c r="O13" s="54">
        <v>46095</v>
      </c>
      <c r="P13" s="54">
        <v>46096</v>
      </c>
      <c r="Q13" s="54">
        <v>46097</v>
      </c>
      <c r="R13" s="54">
        <v>46098</v>
      </c>
      <c r="S13" s="54">
        <v>46099</v>
      </c>
      <c r="T13" s="54">
        <v>46100</v>
      </c>
      <c r="U13" s="54">
        <v>46101</v>
      </c>
      <c r="V13" s="54">
        <v>46102</v>
      </c>
      <c r="W13" s="54">
        <v>46103</v>
      </c>
      <c r="X13" s="54">
        <v>46104</v>
      </c>
      <c r="Y13" s="54">
        <v>46105</v>
      </c>
      <c r="Z13" s="54">
        <v>46106</v>
      </c>
      <c r="AA13" s="54">
        <v>46107</v>
      </c>
      <c r="AB13" s="54">
        <v>46108</v>
      </c>
      <c r="AC13" s="54">
        <v>46109</v>
      </c>
      <c r="AD13" s="54">
        <v>46110</v>
      </c>
      <c r="AE13" s="54">
        <v>46111</v>
      </c>
      <c r="AF13" s="54">
        <v>46112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34</v>
      </c>
      <c r="AM13" s="74">
        <f t="shared" ref="AM13:AV13" si="14">AM7+AM9</f>
        <v>18</v>
      </c>
      <c r="AN13" s="74">
        <f t="shared" si="14"/>
        <v>35</v>
      </c>
      <c r="AO13" s="74">
        <f t="shared" si="14"/>
        <v>18</v>
      </c>
      <c r="AP13" s="74">
        <f t="shared" si="14"/>
        <v>18</v>
      </c>
      <c r="AQ13" s="74">
        <f t="shared" si="14"/>
        <v>31</v>
      </c>
      <c r="AR13" s="74">
        <f t="shared" si="14"/>
        <v>54</v>
      </c>
      <c r="AS13" s="74">
        <f t="shared" si="14"/>
        <v>85</v>
      </c>
      <c r="AT13" s="74">
        <f t="shared" si="14"/>
        <v>19</v>
      </c>
      <c r="AU13" s="74">
        <f t="shared" si="14"/>
        <v>14</v>
      </c>
      <c r="AV13" s="93">
        <f t="shared" si="14"/>
        <v>326</v>
      </c>
      <c r="AX13" s="90">
        <v>10</v>
      </c>
      <c r="AY13" s="90" t="s">
        <v>15</v>
      </c>
      <c r="AZ13" s="90">
        <f>AU5</f>
        <v>544</v>
      </c>
      <c r="BA13" s="90">
        <f>AU7+AU9</f>
        <v>14</v>
      </c>
      <c r="BB13" s="89">
        <f t="shared" si="13"/>
        <v>2.5735294117647058E-2</v>
      </c>
      <c r="BE13" s="112"/>
      <c r="BF13" s="112"/>
      <c r="BG13" s="113"/>
      <c r="BH13" s="114"/>
    </row>
    <row r="14" spans="1:60" ht="21.75" thickBot="1">
      <c r="A14" s="55" t="s">
        <v>5</v>
      </c>
      <c r="B14" s="56">
        <v>44</v>
      </c>
      <c r="C14" s="56">
        <v>26</v>
      </c>
      <c r="D14" s="56">
        <v>18</v>
      </c>
      <c r="E14" s="56">
        <v>23</v>
      </c>
      <c r="F14" s="56">
        <v>19</v>
      </c>
      <c r="G14" s="56">
        <v>30</v>
      </c>
      <c r="H14" s="56">
        <v>43</v>
      </c>
      <c r="I14" s="56">
        <v>27</v>
      </c>
      <c r="J14" s="56">
        <v>20</v>
      </c>
      <c r="K14" s="56">
        <v>28</v>
      </c>
      <c r="L14" s="56">
        <v>21</v>
      </c>
      <c r="M14" s="56">
        <v>19</v>
      </c>
      <c r="N14" s="56">
        <v>24</v>
      </c>
      <c r="O14" s="56">
        <v>34</v>
      </c>
      <c r="P14" s="56">
        <v>41</v>
      </c>
      <c r="Q14" s="56">
        <v>23</v>
      </c>
      <c r="R14" s="56">
        <v>24</v>
      </c>
      <c r="S14" s="56">
        <v>13</v>
      </c>
      <c r="T14" s="56">
        <v>27</v>
      </c>
      <c r="U14" s="56">
        <v>38</v>
      </c>
      <c r="V14" s="56">
        <v>41</v>
      </c>
      <c r="W14" s="56">
        <v>35</v>
      </c>
      <c r="X14" s="56">
        <v>22</v>
      </c>
      <c r="Y14" s="56">
        <v>17</v>
      </c>
      <c r="Z14" s="56">
        <v>21</v>
      </c>
      <c r="AA14" s="56">
        <v>28</v>
      </c>
      <c r="AB14" s="56">
        <v>43</v>
      </c>
      <c r="AC14" s="56">
        <v>49</v>
      </c>
      <c r="AD14" s="56">
        <v>39</v>
      </c>
      <c r="AE14" s="56">
        <v>47</v>
      </c>
      <c r="AF14" s="56">
        <v>46</v>
      </c>
      <c r="AG14" s="63">
        <f>SUM(B14:AF14)</f>
        <v>930</v>
      </c>
      <c r="AH14" s="63"/>
      <c r="AI14" s="63">
        <f>AG14</f>
        <v>930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X14" s="63"/>
      <c r="AY14" s="63"/>
      <c r="AZ14" s="63"/>
      <c r="BA14" s="63"/>
      <c r="BB14" s="63"/>
      <c r="BE14" s="112"/>
      <c r="BF14" s="112"/>
      <c r="BG14" s="113"/>
      <c r="BH14" s="114"/>
    </row>
    <row r="15" spans="1:60" ht="21">
      <c r="A15" s="55" t="s">
        <v>21</v>
      </c>
      <c r="B15" s="56">
        <v>27</v>
      </c>
      <c r="C15" s="56">
        <v>11</v>
      </c>
      <c r="D15" s="56">
        <v>12</v>
      </c>
      <c r="E15" s="56">
        <v>15</v>
      </c>
      <c r="F15" s="56">
        <v>9</v>
      </c>
      <c r="G15" s="56">
        <v>18</v>
      </c>
      <c r="H15" s="56">
        <v>19</v>
      </c>
      <c r="I15" s="56">
        <v>14</v>
      </c>
      <c r="J15" s="56">
        <v>8</v>
      </c>
      <c r="K15" s="56">
        <v>11</v>
      </c>
      <c r="L15" s="56">
        <v>13</v>
      </c>
      <c r="M15" s="56">
        <v>12</v>
      </c>
      <c r="N15" s="56">
        <v>15</v>
      </c>
      <c r="O15" s="56">
        <v>19</v>
      </c>
      <c r="P15" s="56">
        <v>22</v>
      </c>
      <c r="Q15" s="56">
        <v>12</v>
      </c>
      <c r="R15" s="56">
        <v>16</v>
      </c>
      <c r="S15" s="56">
        <v>6</v>
      </c>
      <c r="T15" s="56">
        <v>14</v>
      </c>
      <c r="U15" s="56">
        <v>22</v>
      </c>
      <c r="V15" s="56">
        <v>27</v>
      </c>
      <c r="W15" s="56">
        <v>13</v>
      </c>
      <c r="X15" s="56">
        <v>14</v>
      </c>
      <c r="Y15" s="56">
        <v>7</v>
      </c>
      <c r="Z15" s="56">
        <v>12</v>
      </c>
      <c r="AA15" s="56">
        <v>16</v>
      </c>
      <c r="AB15" s="56">
        <v>22</v>
      </c>
      <c r="AC15" s="56">
        <v>23</v>
      </c>
      <c r="AD15" s="56">
        <v>18</v>
      </c>
      <c r="AE15" s="56">
        <v>27</v>
      </c>
      <c r="AF15" s="56">
        <v>21</v>
      </c>
      <c r="AG15" s="63">
        <f t="shared" ref="AG15:AG22" si="15">SUM(B15:AF15)</f>
        <v>495</v>
      </c>
      <c r="AH15" s="63"/>
      <c r="AI15" s="63">
        <f>AG15+AH17+AH18+AH19</f>
        <v>495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X15" s="94" t="s">
        <v>35</v>
      </c>
      <c r="AY15" s="95" t="s">
        <v>36</v>
      </c>
      <c r="AZ15" s="95" t="s">
        <v>2</v>
      </c>
      <c r="BA15" s="95" t="s">
        <v>37</v>
      </c>
      <c r="BB15" s="96" t="s">
        <v>38</v>
      </c>
      <c r="BE15" s="112"/>
      <c r="BF15" s="112"/>
      <c r="BG15" s="113"/>
      <c r="BH15" s="112"/>
    </row>
    <row r="16" spans="1:60" ht="18.75" customHeight="1">
      <c r="A16" s="55" t="s">
        <v>22</v>
      </c>
      <c r="B16" s="147">
        <v>26</v>
      </c>
      <c r="C16" s="147">
        <v>11</v>
      </c>
      <c r="D16" s="147">
        <v>12</v>
      </c>
      <c r="E16" s="147">
        <v>15</v>
      </c>
      <c r="F16" s="147">
        <v>9</v>
      </c>
      <c r="G16" s="147">
        <v>18</v>
      </c>
      <c r="H16" s="147">
        <v>19</v>
      </c>
      <c r="I16" s="147">
        <v>12</v>
      </c>
      <c r="J16" s="147">
        <v>7</v>
      </c>
      <c r="K16" s="147">
        <v>11</v>
      </c>
      <c r="L16" s="147">
        <v>12</v>
      </c>
      <c r="M16" s="147">
        <v>12</v>
      </c>
      <c r="N16" s="147">
        <v>14</v>
      </c>
      <c r="O16" s="147">
        <v>19</v>
      </c>
      <c r="P16" s="147">
        <v>22</v>
      </c>
      <c r="Q16" s="147">
        <v>12</v>
      </c>
      <c r="R16" s="147">
        <v>14</v>
      </c>
      <c r="S16" s="147">
        <v>6</v>
      </c>
      <c r="T16" s="147">
        <v>13</v>
      </c>
      <c r="U16" s="147">
        <v>19</v>
      </c>
      <c r="V16" s="147">
        <v>27</v>
      </c>
      <c r="W16" s="147">
        <v>13</v>
      </c>
      <c r="X16" s="147">
        <v>14</v>
      </c>
      <c r="Y16" s="147">
        <v>6</v>
      </c>
      <c r="Z16" s="147">
        <v>12</v>
      </c>
      <c r="AA16" s="147">
        <v>16</v>
      </c>
      <c r="AB16" s="147">
        <v>21</v>
      </c>
      <c r="AC16" s="147">
        <v>23</v>
      </c>
      <c r="AD16" s="147">
        <v>17</v>
      </c>
      <c r="AE16" s="147">
        <v>25</v>
      </c>
      <c r="AF16" s="147">
        <v>19</v>
      </c>
      <c r="AG16" s="63">
        <f t="shared" si="15"/>
        <v>476</v>
      </c>
      <c r="AH16" s="63"/>
      <c r="AI16" s="63">
        <f>AG16+AH17+AH18+AH19</f>
        <v>476</v>
      </c>
      <c r="AK16" s="265" t="s">
        <v>273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7"/>
      <c r="AX16" s="97">
        <v>100</v>
      </c>
      <c r="AY16" s="98">
        <v>0.02</v>
      </c>
      <c r="AZ16" s="63">
        <f t="shared" ref="AZ16:AZ25" si="16">AX16*AY16</f>
        <v>2</v>
      </c>
      <c r="BA16" s="63">
        <v>1</v>
      </c>
      <c r="BB16" s="99">
        <f>AZ16-BA16</f>
        <v>1</v>
      </c>
      <c r="BE16" s="112"/>
      <c r="BF16" s="112"/>
      <c r="BG16" s="113"/>
      <c r="BH16" s="114"/>
    </row>
    <row r="17" spans="1:60" ht="18.75" customHeight="1">
      <c r="A17" s="55" t="s">
        <v>23</v>
      </c>
      <c r="B17" s="147">
        <v>0</v>
      </c>
      <c r="C17" s="147">
        <v>0</v>
      </c>
      <c r="D17" s="147">
        <v>0</v>
      </c>
      <c r="E17" s="147">
        <v>0</v>
      </c>
      <c r="F17" s="147">
        <v>0</v>
      </c>
      <c r="G17" s="147">
        <v>0</v>
      </c>
      <c r="H17" s="147">
        <v>0</v>
      </c>
      <c r="I17" s="147">
        <v>1</v>
      </c>
      <c r="J17" s="147">
        <v>1</v>
      </c>
      <c r="K17" s="147">
        <v>0</v>
      </c>
      <c r="L17" s="147">
        <v>0</v>
      </c>
      <c r="M17" s="147">
        <v>0</v>
      </c>
      <c r="N17" s="147">
        <v>0</v>
      </c>
      <c r="O17" s="147">
        <v>0</v>
      </c>
      <c r="P17" s="147">
        <v>0</v>
      </c>
      <c r="Q17" s="147">
        <v>0</v>
      </c>
      <c r="R17" s="147">
        <v>1</v>
      </c>
      <c r="S17" s="147">
        <v>0</v>
      </c>
      <c r="T17" s="147">
        <v>0</v>
      </c>
      <c r="U17" s="147">
        <v>1</v>
      </c>
      <c r="V17" s="147">
        <v>0</v>
      </c>
      <c r="W17" s="147">
        <v>0</v>
      </c>
      <c r="X17" s="147">
        <v>0</v>
      </c>
      <c r="Y17" s="147">
        <v>1</v>
      </c>
      <c r="Z17" s="147">
        <v>0</v>
      </c>
      <c r="AA17" s="147">
        <v>0</v>
      </c>
      <c r="AB17" s="147">
        <v>1</v>
      </c>
      <c r="AC17" s="147">
        <v>0</v>
      </c>
      <c r="AD17" s="147">
        <v>0</v>
      </c>
      <c r="AE17" s="147">
        <v>1</v>
      </c>
      <c r="AF17" s="147">
        <v>0</v>
      </c>
      <c r="AG17" s="63">
        <f t="shared" si="15"/>
        <v>7</v>
      </c>
      <c r="AH17" s="63"/>
      <c r="AI17" s="63">
        <f t="shared" ref="AI17:AI22" si="17">AG17-AH17</f>
        <v>7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70"/>
      <c r="AX17" s="97">
        <v>200</v>
      </c>
      <c r="AY17" s="98">
        <v>0.02</v>
      </c>
      <c r="AZ17" s="63">
        <f t="shared" si="16"/>
        <v>4</v>
      </c>
      <c r="BA17" s="63">
        <v>1</v>
      </c>
      <c r="BB17" s="99">
        <f t="shared" ref="BB17:BB25" si="18">AZ17-BA17</f>
        <v>3</v>
      </c>
      <c r="BE17" s="112"/>
      <c r="BF17" s="112"/>
      <c r="BG17" s="113"/>
      <c r="BH17" s="112"/>
    </row>
    <row r="18" spans="1:60" ht="23.25">
      <c r="A18" s="55" t="s">
        <v>24</v>
      </c>
      <c r="B18" s="147">
        <v>0</v>
      </c>
      <c r="C18" s="147">
        <v>0</v>
      </c>
      <c r="D18" s="147">
        <v>0</v>
      </c>
      <c r="E18" s="147">
        <v>0</v>
      </c>
      <c r="F18" s="147">
        <v>0</v>
      </c>
      <c r="G18" s="147">
        <v>0</v>
      </c>
      <c r="H18" s="147">
        <v>0</v>
      </c>
      <c r="I18" s="147">
        <v>0</v>
      </c>
      <c r="J18" s="147">
        <v>0</v>
      </c>
      <c r="K18" s="147">
        <v>0</v>
      </c>
      <c r="L18" s="147">
        <v>0</v>
      </c>
      <c r="M18" s="147">
        <v>0</v>
      </c>
      <c r="N18" s="147">
        <v>0</v>
      </c>
      <c r="O18" s="147">
        <v>0</v>
      </c>
      <c r="P18" s="147">
        <v>0</v>
      </c>
      <c r="Q18" s="147">
        <v>0</v>
      </c>
      <c r="R18" s="147">
        <v>0</v>
      </c>
      <c r="S18" s="147">
        <v>0</v>
      </c>
      <c r="T18" s="147">
        <v>0</v>
      </c>
      <c r="U18" s="147">
        <v>0</v>
      </c>
      <c r="V18" s="147">
        <v>0</v>
      </c>
      <c r="W18" s="147">
        <v>0</v>
      </c>
      <c r="X18" s="147">
        <v>0</v>
      </c>
      <c r="Y18" s="147">
        <v>0</v>
      </c>
      <c r="Z18" s="147">
        <v>0</v>
      </c>
      <c r="AA18" s="147">
        <v>0</v>
      </c>
      <c r="AB18" s="147">
        <v>0</v>
      </c>
      <c r="AC18" s="147">
        <v>0</v>
      </c>
      <c r="AD18" s="147">
        <v>1</v>
      </c>
      <c r="AE18" s="147">
        <v>0</v>
      </c>
      <c r="AF18" s="147">
        <v>0</v>
      </c>
      <c r="AG18" s="63">
        <f t="shared" si="15"/>
        <v>1</v>
      </c>
      <c r="AH18" s="63"/>
      <c r="AI18" s="63">
        <f t="shared" si="17"/>
        <v>1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76" t="s">
        <v>14</v>
      </c>
      <c r="AU18" s="76" t="s">
        <v>15</v>
      </c>
      <c r="AV18" s="100" t="s">
        <v>2</v>
      </c>
      <c r="AX18" s="97">
        <v>300</v>
      </c>
      <c r="AY18" s="98">
        <v>0.02</v>
      </c>
      <c r="AZ18" s="63">
        <f t="shared" si="16"/>
        <v>6</v>
      </c>
      <c r="BA18" s="63">
        <v>1</v>
      </c>
      <c r="BB18" s="99">
        <f t="shared" si="18"/>
        <v>5</v>
      </c>
      <c r="BE18" s="115"/>
      <c r="BF18" s="115"/>
      <c r="BG18" s="115"/>
      <c r="BH18" s="112"/>
    </row>
    <row r="19" spans="1:60" ht="23.25">
      <c r="A19" s="55" t="s">
        <v>26</v>
      </c>
      <c r="B19" s="147">
        <v>1</v>
      </c>
      <c r="C19" s="147">
        <v>0</v>
      </c>
      <c r="D19" s="147">
        <v>0</v>
      </c>
      <c r="E19" s="147">
        <v>0</v>
      </c>
      <c r="F19" s="147">
        <v>0</v>
      </c>
      <c r="G19" s="147">
        <v>0</v>
      </c>
      <c r="H19" s="147">
        <v>0</v>
      </c>
      <c r="I19" s="147">
        <v>1</v>
      </c>
      <c r="J19" s="147">
        <v>0</v>
      </c>
      <c r="K19" s="147">
        <v>0</v>
      </c>
      <c r="L19" s="147">
        <v>1</v>
      </c>
      <c r="M19" s="147">
        <v>0</v>
      </c>
      <c r="N19" s="147">
        <v>1</v>
      </c>
      <c r="O19" s="147">
        <v>0</v>
      </c>
      <c r="P19" s="147">
        <v>0</v>
      </c>
      <c r="Q19" s="147">
        <v>0</v>
      </c>
      <c r="R19" s="147">
        <v>1</v>
      </c>
      <c r="S19" s="147">
        <v>0</v>
      </c>
      <c r="T19" s="147">
        <v>1</v>
      </c>
      <c r="U19" s="147">
        <v>2</v>
      </c>
      <c r="V19" s="147">
        <v>0</v>
      </c>
      <c r="W19" s="147">
        <v>0</v>
      </c>
      <c r="X19" s="147">
        <v>0</v>
      </c>
      <c r="Y19" s="147">
        <v>0</v>
      </c>
      <c r="Z19" s="147">
        <v>0</v>
      </c>
      <c r="AA19" s="147">
        <v>0</v>
      </c>
      <c r="AB19" s="147">
        <v>0</v>
      </c>
      <c r="AC19" s="147">
        <v>0</v>
      </c>
      <c r="AD19" s="147">
        <v>0</v>
      </c>
      <c r="AE19" s="147">
        <v>1</v>
      </c>
      <c r="AF19" s="147">
        <v>2</v>
      </c>
      <c r="AG19" s="63">
        <f t="shared" si="15"/>
        <v>11</v>
      </c>
      <c r="AH19" s="63"/>
      <c r="AI19" s="63">
        <f t="shared" si="17"/>
        <v>11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101"/>
      <c r="AX19" s="97">
        <v>400</v>
      </c>
      <c r="AY19" s="98">
        <v>0.02</v>
      </c>
      <c r="AZ19" s="63">
        <f t="shared" si="16"/>
        <v>8</v>
      </c>
      <c r="BA19" s="63">
        <v>1</v>
      </c>
      <c r="BB19" s="99">
        <f t="shared" si="18"/>
        <v>7</v>
      </c>
      <c r="BE19" s="112"/>
      <c r="BF19" s="112"/>
      <c r="BG19" s="113"/>
      <c r="BH19" s="116"/>
    </row>
    <row r="20" spans="1:60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171"/>
      <c r="Y20" s="57"/>
      <c r="Z20" s="57"/>
      <c r="AA20" s="57"/>
      <c r="AB20" s="57"/>
      <c r="AC20" s="57"/>
      <c r="AD20" s="57"/>
      <c r="AE20" s="57"/>
      <c r="AF20" s="57"/>
      <c r="AG20" s="63">
        <f t="shared" si="15"/>
        <v>0</v>
      </c>
      <c r="AH20" s="70"/>
      <c r="AI20" s="63">
        <f t="shared" si="17"/>
        <v>0</v>
      </c>
      <c r="AK20" s="77" t="s">
        <v>40</v>
      </c>
      <c r="AL20" s="79">
        <f>+AL5/AL4</f>
        <v>0.57379636937647982</v>
      </c>
      <c r="AM20" s="79">
        <f t="shared" ref="AM20:AV21" si="19">+AM5/AM4</f>
        <v>0.532258064516129</v>
      </c>
      <c r="AN20" s="79">
        <f t="shared" si="19"/>
        <v>0.6458797327394209</v>
      </c>
      <c r="AO20" s="79">
        <f t="shared" si="19"/>
        <v>0.76208178438661711</v>
      </c>
      <c r="AP20" s="79">
        <f t="shared" si="19"/>
        <v>0.57544757033248084</v>
      </c>
      <c r="AQ20" s="79">
        <f t="shared" si="19"/>
        <v>0.59181141439205953</v>
      </c>
      <c r="AR20" s="79">
        <f t="shared" si="19"/>
        <v>0.53463414634146345</v>
      </c>
      <c r="AS20" s="79">
        <f t="shared" si="19"/>
        <v>0.52541047693510556</v>
      </c>
      <c r="AT20" s="79">
        <f t="shared" si="19"/>
        <v>0.55734919286321161</v>
      </c>
      <c r="AU20" s="79">
        <f t="shared" si="19"/>
        <v>0.5013824884792627</v>
      </c>
      <c r="AV20" s="102">
        <f t="shared" si="19"/>
        <v>0.56799836517829771</v>
      </c>
      <c r="AX20" s="97">
        <v>500</v>
      </c>
      <c r="AY20" s="98">
        <v>0.02</v>
      </c>
      <c r="AZ20" s="63">
        <f t="shared" si="16"/>
        <v>10</v>
      </c>
      <c r="BA20" s="63">
        <v>1</v>
      </c>
      <c r="BB20" s="99">
        <f t="shared" si="18"/>
        <v>9</v>
      </c>
      <c r="BE20" s="112"/>
      <c r="BF20" s="112"/>
      <c r="BG20" s="113"/>
      <c r="BH20" s="116"/>
    </row>
    <row r="21" spans="1:60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172"/>
      <c r="Y21" s="58"/>
      <c r="Z21" s="58"/>
      <c r="AA21" s="58"/>
      <c r="AB21" s="58"/>
      <c r="AC21" s="58"/>
      <c r="AD21" s="58"/>
      <c r="AE21" s="58"/>
      <c r="AF21" s="58"/>
      <c r="AG21" s="63">
        <f t="shared" si="15"/>
        <v>0</v>
      </c>
      <c r="AH21" s="71"/>
      <c r="AI21" s="63">
        <f t="shared" si="17"/>
        <v>0</v>
      </c>
      <c r="AK21" s="77" t="s">
        <v>41</v>
      </c>
      <c r="AL21" s="79">
        <f>+AL6/AL5</f>
        <v>0.94910591471801931</v>
      </c>
      <c r="AM21" s="79">
        <f t="shared" si="19"/>
        <v>0.96161616161616159</v>
      </c>
      <c r="AN21" s="79">
        <f t="shared" si="19"/>
        <v>0.93620689655172418</v>
      </c>
      <c r="AO21" s="79">
        <f t="shared" si="19"/>
        <v>0.91951219512195126</v>
      </c>
      <c r="AP21" s="79">
        <f t="shared" si="19"/>
        <v>0.94444444444444442</v>
      </c>
      <c r="AQ21" s="79">
        <f t="shared" si="19"/>
        <v>0.92662473794549272</v>
      </c>
      <c r="AR21" s="79">
        <f t="shared" si="19"/>
        <v>0.89963503649635035</v>
      </c>
      <c r="AS21" s="79">
        <f t="shared" si="19"/>
        <v>0.8705357142857143</v>
      </c>
      <c r="AT21" s="79">
        <f t="shared" si="19"/>
        <v>0.97103658536585369</v>
      </c>
      <c r="AU21" s="79">
        <f t="shared" si="19"/>
        <v>0.97426470588235292</v>
      </c>
      <c r="AV21" s="102">
        <f t="shared" si="19"/>
        <v>0.93506026263716491</v>
      </c>
      <c r="AX21" s="97">
        <v>600</v>
      </c>
      <c r="AY21" s="98">
        <v>0.02</v>
      </c>
      <c r="AZ21" s="63">
        <f t="shared" si="16"/>
        <v>12</v>
      </c>
      <c r="BA21" s="63">
        <v>1</v>
      </c>
      <c r="BB21" s="99">
        <f t="shared" si="18"/>
        <v>11</v>
      </c>
      <c r="BE21" s="112"/>
      <c r="BF21" s="112"/>
      <c r="BG21" s="113"/>
      <c r="BH21" s="116"/>
    </row>
    <row r="22" spans="1:60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5"/>
      <c r="Y22" s="56"/>
      <c r="Z22" s="56"/>
      <c r="AA22" s="56"/>
      <c r="AB22" s="56"/>
      <c r="AC22" s="56"/>
      <c r="AD22" s="56"/>
      <c r="AE22" s="56"/>
      <c r="AF22" s="56"/>
      <c r="AG22" s="63">
        <f t="shared" si="15"/>
        <v>0</v>
      </c>
      <c r="AH22" s="63"/>
      <c r="AI22" s="63">
        <f t="shared" si="17"/>
        <v>0</v>
      </c>
      <c r="AK22" s="77" t="s">
        <v>23</v>
      </c>
      <c r="AL22" s="79">
        <f>AL7/AL5</f>
        <v>8.253094910591471E-3</v>
      </c>
      <c r="AM22" s="79">
        <f t="shared" ref="AM22:AV22" si="20">AM7/AM5</f>
        <v>1.4141414141414142E-2</v>
      </c>
      <c r="AN22" s="79">
        <f t="shared" si="20"/>
        <v>3.4482758620689655E-2</v>
      </c>
      <c r="AO22" s="79">
        <f t="shared" si="20"/>
        <v>2.9268292682926831E-2</v>
      </c>
      <c r="AP22" s="79">
        <f t="shared" si="20"/>
        <v>4.4444444444444444E-3</v>
      </c>
      <c r="AQ22" s="79">
        <f t="shared" si="20"/>
        <v>1.2578616352201259E-2</v>
      </c>
      <c r="AR22" s="79">
        <f t="shared" si="20"/>
        <v>1.6423357664233577E-2</v>
      </c>
      <c r="AS22" s="79">
        <f t="shared" si="20"/>
        <v>1.9345238095238096E-2</v>
      </c>
      <c r="AT22" s="79">
        <f t="shared" si="20"/>
        <v>1.5243902439024391E-3</v>
      </c>
      <c r="AU22" s="79">
        <f t="shared" si="20"/>
        <v>5.5147058823529415E-3</v>
      </c>
      <c r="AV22" s="102">
        <f t="shared" si="20"/>
        <v>1.4211189062781076E-2</v>
      </c>
      <c r="AX22" s="97">
        <v>700</v>
      </c>
      <c r="AY22" s="98">
        <v>0.02</v>
      </c>
      <c r="AZ22" s="63">
        <f t="shared" si="16"/>
        <v>14</v>
      </c>
      <c r="BA22" s="63">
        <v>1</v>
      </c>
      <c r="BB22" s="99">
        <f t="shared" si="18"/>
        <v>13</v>
      </c>
      <c r="BE22" s="112"/>
      <c r="BF22" s="112"/>
      <c r="BG22" s="113"/>
      <c r="BH22" s="116"/>
    </row>
    <row r="23" spans="1:60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4.1265474552957355E-3</v>
      </c>
      <c r="AM23" s="79">
        <f t="shared" ref="AM23:AV23" si="21">AM8/AM5</f>
        <v>2.0202020202020202E-3</v>
      </c>
      <c r="AN23" s="79">
        <f t="shared" si="21"/>
        <v>3.4482758620689655E-3</v>
      </c>
      <c r="AO23" s="79">
        <f t="shared" si="21"/>
        <v>3.6585365853658534E-2</v>
      </c>
      <c r="AP23" s="79">
        <f t="shared" si="21"/>
        <v>1.5555555555555555E-2</v>
      </c>
      <c r="AQ23" s="79">
        <f t="shared" si="21"/>
        <v>8.385744234800839E-3</v>
      </c>
      <c r="AR23" s="79">
        <f t="shared" si="21"/>
        <v>1.8248175182481751E-3</v>
      </c>
      <c r="AS23" s="79">
        <f t="shared" si="21"/>
        <v>2.976190476190476E-3</v>
      </c>
      <c r="AT23" s="79">
        <f t="shared" si="21"/>
        <v>0</v>
      </c>
      <c r="AU23" s="79">
        <f t="shared" si="21"/>
        <v>0</v>
      </c>
      <c r="AV23" s="102">
        <f t="shared" si="21"/>
        <v>6.2960964202194636E-3</v>
      </c>
      <c r="AX23" s="97">
        <v>800</v>
      </c>
      <c r="AY23" s="98">
        <v>0.02</v>
      </c>
      <c r="AZ23" s="63">
        <f t="shared" si="16"/>
        <v>16</v>
      </c>
      <c r="BA23" s="63">
        <v>1</v>
      </c>
      <c r="BB23" s="99">
        <f t="shared" si="18"/>
        <v>15</v>
      </c>
      <c r="BE23" s="112"/>
      <c r="BF23" s="112"/>
      <c r="BG23" s="113"/>
      <c r="BH23" s="112"/>
    </row>
    <row r="24" spans="1:60" ht="23.25">
      <c r="A24" s="53"/>
      <c r="B24" s="54">
        <v>46082</v>
      </c>
      <c r="C24" s="54">
        <v>46083</v>
      </c>
      <c r="D24" s="54">
        <v>46084</v>
      </c>
      <c r="E24" s="54">
        <v>46085</v>
      </c>
      <c r="F24" s="54">
        <v>46086</v>
      </c>
      <c r="G24" s="54">
        <v>46087</v>
      </c>
      <c r="H24" s="54">
        <v>46088</v>
      </c>
      <c r="I24" s="54">
        <v>46089</v>
      </c>
      <c r="J24" s="54">
        <v>46090</v>
      </c>
      <c r="K24" s="54">
        <v>46091</v>
      </c>
      <c r="L24" s="54">
        <v>46092</v>
      </c>
      <c r="M24" s="54">
        <v>46093</v>
      </c>
      <c r="N24" s="54">
        <v>46094</v>
      </c>
      <c r="O24" s="54">
        <v>46095</v>
      </c>
      <c r="P24" s="54">
        <v>46096</v>
      </c>
      <c r="Q24" s="54">
        <v>46097</v>
      </c>
      <c r="R24" s="54">
        <v>46098</v>
      </c>
      <c r="S24" s="54">
        <v>46099</v>
      </c>
      <c r="T24" s="54">
        <v>46100</v>
      </c>
      <c r="U24" s="54">
        <v>46101</v>
      </c>
      <c r="V24" s="54">
        <v>46102</v>
      </c>
      <c r="W24" s="54">
        <v>46103</v>
      </c>
      <c r="X24" s="54">
        <v>46104</v>
      </c>
      <c r="Y24" s="54">
        <v>46105</v>
      </c>
      <c r="Z24" s="54">
        <v>46106</v>
      </c>
      <c r="AA24" s="54">
        <v>46107</v>
      </c>
      <c r="AB24" s="54">
        <v>46108</v>
      </c>
      <c r="AC24" s="54">
        <v>46109</v>
      </c>
      <c r="AD24" s="54">
        <v>46110</v>
      </c>
      <c r="AE24" s="54">
        <v>46111</v>
      </c>
      <c r="AF24" s="54">
        <v>46112</v>
      </c>
      <c r="AG24" s="61" t="s">
        <v>2</v>
      </c>
      <c r="AH24" s="61" t="s">
        <v>3</v>
      </c>
      <c r="AI24" s="62" t="s">
        <v>43</v>
      </c>
      <c r="AK24" s="77" t="s">
        <v>26</v>
      </c>
      <c r="AL24" s="79">
        <f>AL9/AL5</f>
        <v>3.8514442916093537E-2</v>
      </c>
      <c r="AM24" s="79">
        <f t="shared" ref="AM24:AV24" si="22">AM9/AM5</f>
        <v>2.2222222222222223E-2</v>
      </c>
      <c r="AN24" s="79">
        <f t="shared" si="22"/>
        <v>2.5862068965517241E-2</v>
      </c>
      <c r="AO24" s="79">
        <f t="shared" si="22"/>
        <v>1.4634146341463415E-2</v>
      </c>
      <c r="AP24" s="79">
        <f t="shared" si="22"/>
        <v>3.5555555555555556E-2</v>
      </c>
      <c r="AQ24" s="79">
        <f t="shared" si="22"/>
        <v>5.2410901467505239E-2</v>
      </c>
      <c r="AR24" s="79">
        <f t="shared" si="22"/>
        <v>8.211678832116788E-2</v>
      </c>
      <c r="AS24" s="79">
        <f t="shared" si="22"/>
        <v>0.10714285714285714</v>
      </c>
      <c r="AT24" s="79">
        <f t="shared" si="22"/>
        <v>2.7439024390243903E-2</v>
      </c>
      <c r="AU24" s="79">
        <f t="shared" si="22"/>
        <v>2.0220588235294119E-2</v>
      </c>
      <c r="AV24" s="102">
        <f t="shared" si="22"/>
        <v>4.4432451879834502E-2</v>
      </c>
      <c r="AX24" s="97">
        <v>900</v>
      </c>
      <c r="AY24" s="98">
        <v>0.02</v>
      </c>
      <c r="AZ24" s="63">
        <f t="shared" si="16"/>
        <v>18</v>
      </c>
      <c r="BA24" s="63">
        <v>1</v>
      </c>
      <c r="BB24" s="99">
        <f t="shared" si="18"/>
        <v>17</v>
      </c>
      <c r="BE24" s="117"/>
      <c r="BF24" s="117"/>
      <c r="BG24" s="118"/>
      <c r="BH24" s="112"/>
    </row>
    <row r="25" spans="1:60" ht="24" thickBot="1">
      <c r="A25" s="55" t="s">
        <v>5</v>
      </c>
      <c r="B25" s="56">
        <v>39</v>
      </c>
      <c r="C25" s="56">
        <v>34</v>
      </c>
      <c r="D25" s="56">
        <v>32</v>
      </c>
      <c r="E25" s="56">
        <v>25</v>
      </c>
      <c r="F25" s="56">
        <v>35</v>
      </c>
      <c r="G25" s="56">
        <v>35</v>
      </c>
      <c r="H25" s="56">
        <v>51</v>
      </c>
      <c r="I25" s="56">
        <v>29</v>
      </c>
      <c r="J25" s="56">
        <v>14</v>
      </c>
      <c r="K25" s="56">
        <v>21</v>
      </c>
      <c r="L25" s="56">
        <v>19</v>
      </c>
      <c r="M25" s="56">
        <v>19</v>
      </c>
      <c r="N25" s="56">
        <v>19</v>
      </c>
      <c r="O25" s="56">
        <v>49</v>
      </c>
      <c r="P25" s="56">
        <v>36</v>
      </c>
      <c r="Q25" s="56">
        <v>20</v>
      </c>
      <c r="R25" s="56">
        <v>25</v>
      </c>
      <c r="S25" s="56">
        <v>22</v>
      </c>
      <c r="T25" s="56">
        <v>21</v>
      </c>
      <c r="U25" s="56">
        <v>33</v>
      </c>
      <c r="V25" s="56">
        <v>50</v>
      </c>
      <c r="W25" s="56">
        <v>29</v>
      </c>
      <c r="X25" s="56">
        <v>21</v>
      </c>
      <c r="Y25" s="56">
        <v>19</v>
      </c>
      <c r="Z25" s="56">
        <v>22</v>
      </c>
      <c r="AA25" s="56">
        <v>29</v>
      </c>
      <c r="AB25" s="56">
        <v>24</v>
      </c>
      <c r="AC25" s="56">
        <v>45</v>
      </c>
      <c r="AD25" s="56">
        <v>25</v>
      </c>
      <c r="AE25" s="56">
        <v>22</v>
      </c>
      <c r="AF25" s="56">
        <v>34</v>
      </c>
      <c r="AG25" s="63">
        <f>SUM(B25:AF25)</f>
        <v>898</v>
      </c>
      <c r="AH25" s="63"/>
      <c r="AI25" s="63">
        <f>AG25</f>
        <v>898</v>
      </c>
      <c r="AK25" s="77" t="s">
        <v>28</v>
      </c>
      <c r="AL25" s="79">
        <f t="shared" ref="AL25:AV28" si="23">AL10/AL6</f>
        <v>0</v>
      </c>
      <c r="AM25" s="79">
        <f t="shared" si="23"/>
        <v>0</v>
      </c>
      <c r="AN25" s="79">
        <f t="shared" si="23"/>
        <v>0</v>
      </c>
      <c r="AO25" s="79">
        <f t="shared" si="23"/>
        <v>0</v>
      </c>
      <c r="AP25" s="79">
        <f t="shared" si="23"/>
        <v>0</v>
      </c>
      <c r="AQ25" s="79">
        <f t="shared" si="23"/>
        <v>0</v>
      </c>
      <c r="AR25" s="79">
        <f t="shared" si="23"/>
        <v>0</v>
      </c>
      <c r="AS25" s="79">
        <f t="shared" si="23"/>
        <v>0</v>
      </c>
      <c r="AT25" s="79">
        <f t="shared" si="23"/>
        <v>0</v>
      </c>
      <c r="AU25" s="79">
        <f t="shared" si="23"/>
        <v>0</v>
      </c>
      <c r="AV25" s="102">
        <f t="shared" si="23"/>
        <v>0</v>
      </c>
      <c r="AX25" s="103">
        <v>1000</v>
      </c>
      <c r="AY25" s="104">
        <v>0.02</v>
      </c>
      <c r="AZ25" s="105">
        <f t="shared" si="16"/>
        <v>20</v>
      </c>
      <c r="BA25" s="105">
        <v>1</v>
      </c>
      <c r="BB25" s="106">
        <f t="shared" si="18"/>
        <v>19</v>
      </c>
      <c r="BE25" s="117"/>
      <c r="BF25" s="117"/>
      <c r="BG25" s="118"/>
      <c r="BH25" s="114"/>
    </row>
    <row r="26" spans="1:60" ht="24" thickBot="1">
      <c r="A26" s="55" t="s">
        <v>21</v>
      </c>
      <c r="B26" s="56">
        <v>24</v>
      </c>
      <c r="C26" s="56">
        <v>22</v>
      </c>
      <c r="D26" s="56">
        <v>21</v>
      </c>
      <c r="E26" s="56">
        <v>16</v>
      </c>
      <c r="F26" s="56">
        <v>16</v>
      </c>
      <c r="G26" s="56">
        <v>24</v>
      </c>
      <c r="H26" s="56">
        <v>35</v>
      </c>
      <c r="I26" s="56">
        <v>17</v>
      </c>
      <c r="J26" s="56">
        <v>7</v>
      </c>
      <c r="K26" s="56">
        <v>10</v>
      </c>
      <c r="L26" s="56">
        <v>16</v>
      </c>
      <c r="M26" s="56">
        <v>11</v>
      </c>
      <c r="N26" s="56">
        <v>16</v>
      </c>
      <c r="O26" s="56">
        <v>37</v>
      </c>
      <c r="P26" s="56">
        <v>24</v>
      </c>
      <c r="Q26" s="56">
        <v>8</v>
      </c>
      <c r="R26" s="56">
        <v>17</v>
      </c>
      <c r="S26" s="56">
        <v>13</v>
      </c>
      <c r="T26" s="56">
        <v>15</v>
      </c>
      <c r="U26" s="56">
        <v>26</v>
      </c>
      <c r="V26" s="56">
        <v>24</v>
      </c>
      <c r="W26" s="56">
        <v>15</v>
      </c>
      <c r="X26" s="56">
        <v>16</v>
      </c>
      <c r="Y26" s="56">
        <v>13</v>
      </c>
      <c r="Z26" s="56">
        <v>19</v>
      </c>
      <c r="AA26" s="56">
        <v>19</v>
      </c>
      <c r="AB26" s="56">
        <v>19</v>
      </c>
      <c r="AC26" s="56">
        <v>31</v>
      </c>
      <c r="AD26" s="56">
        <v>16</v>
      </c>
      <c r="AE26" s="56">
        <v>15</v>
      </c>
      <c r="AF26" s="56">
        <v>18</v>
      </c>
      <c r="AG26" s="63">
        <f t="shared" ref="AG26:AG33" si="24">SUM(B26:AF26)</f>
        <v>580</v>
      </c>
      <c r="AH26" s="63"/>
      <c r="AI26" s="63">
        <f>AG26+AH28+AH29+AH30</f>
        <v>580</v>
      </c>
      <c r="AK26" s="77" t="s">
        <v>29</v>
      </c>
      <c r="AL26" s="79">
        <f t="shared" si="23"/>
        <v>0</v>
      </c>
      <c r="AM26" s="79">
        <f t="shared" si="23"/>
        <v>0</v>
      </c>
      <c r="AN26" s="79">
        <f t="shared" si="23"/>
        <v>0</v>
      </c>
      <c r="AO26" s="79">
        <f t="shared" si="23"/>
        <v>0</v>
      </c>
      <c r="AP26" s="79">
        <f t="shared" si="23"/>
        <v>0</v>
      </c>
      <c r="AQ26" s="79">
        <f t="shared" si="23"/>
        <v>0</v>
      </c>
      <c r="AR26" s="79">
        <f t="shared" si="23"/>
        <v>0</v>
      </c>
      <c r="AS26" s="79">
        <f t="shared" si="23"/>
        <v>0</v>
      </c>
      <c r="AT26" s="79">
        <f t="shared" si="23"/>
        <v>0</v>
      </c>
      <c r="AU26" s="79">
        <f t="shared" si="23"/>
        <v>0</v>
      </c>
      <c r="AV26" s="102">
        <f t="shared" si="23"/>
        <v>0</v>
      </c>
      <c r="AX26" s="63"/>
      <c r="AY26" s="63"/>
      <c r="AZ26" s="63"/>
      <c r="BA26" s="63"/>
      <c r="BB26" s="63"/>
      <c r="BE26" s="117"/>
      <c r="BF26" s="117"/>
      <c r="BG26" s="118"/>
      <c r="BH26" s="119"/>
    </row>
    <row r="27" spans="1:60" ht="24" thickBot="1">
      <c r="A27" s="55" t="s">
        <v>22</v>
      </c>
      <c r="B27" s="147">
        <v>23</v>
      </c>
      <c r="C27" s="147">
        <v>21</v>
      </c>
      <c r="D27" s="147">
        <v>20</v>
      </c>
      <c r="E27" s="147">
        <v>15</v>
      </c>
      <c r="F27" s="147">
        <v>16</v>
      </c>
      <c r="G27" s="147">
        <v>22</v>
      </c>
      <c r="H27" s="147">
        <v>34</v>
      </c>
      <c r="I27" s="147">
        <v>17</v>
      </c>
      <c r="J27" s="147">
        <v>7</v>
      </c>
      <c r="K27" s="147">
        <v>9</v>
      </c>
      <c r="L27" s="147">
        <v>13</v>
      </c>
      <c r="M27" s="147">
        <v>10</v>
      </c>
      <c r="N27" s="147">
        <v>14</v>
      </c>
      <c r="O27" s="147">
        <v>36</v>
      </c>
      <c r="P27" s="147">
        <v>23</v>
      </c>
      <c r="Q27" s="147">
        <v>6</v>
      </c>
      <c r="R27" s="147">
        <v>17</v>
      </c>
      <c r="S27" s="147">
        <v>12</v>
      </c>
      <c r="T27" s="147">
        <v>13</v>
      </c>
      <c r="U27" s="147">
        <v>24</v>
      </c>
      <c r="V27" s="147">
        <v>23</v>
      </c>
      <c r="W27" s="147">
        <v>15</v>
      </c>
      <c r="X27" s="147">
        <v>15</v>
      </c>
      <c r="Y27" s="147">
        <v>13</v>
      </c>
      <c r="Z27" s="147">
        <v>16</v>
      </c>
      <c r="AA27" s="147">
        <v>19</v>
      </c>
      <c r="AB27" s="147">
        <v>17</v>
      </c>
      <c r="AC27" s="147">
        <v>30</v>
      </c>
      <c r="AD27" s="147">
        <v>16</v>
      </c>
      <c r="AE27" s="147">
        <v>13</v>
      </c>
      <c r="AF27" s="147">
        <v>14</v>
      </c>
      <c r="AG27" s="63">
        <f t="shared" si="24"/>
        <v>543</v>
      </c>
      <c r="AH27" s="63"/>
      <c r="AI27" s="63">
        <f>AG27+AH28+AH29+AH30</f>
        <v>543</v>
      </c>
      <c r="AK27" s="77" t="s">
        <v>31</v>
      </c>
      <c r="AL27" s="79">
        <f t="shared" si="23"/>
        <v>0</v>
      </c>
      <c r="AM27" s="79">
        <f t="shared" si="23"/>
        <v>0</v>
      </c>
      <c r="AN27" s="79">
        <f t="shared" si="23"/>
        <v>0</v>
      </c>
      <c r="AO27" s="79">
        <f t="shared" si="23"/>
        <v>0</v>
      </c>
      <c r="AP27" s="79">
        <f t="shared" si="23"/>
        <v>0</v>
      </c>
      <c r="AQ27" s="79">
        <f t="shared" si="23"/>
        <v>0</v>
      </c>
      <c r="AR27" s="79">
        <f t="shared" si="23"/>
        <v>0</v>
      </c>
      <c r="AS27" s="79">
        <f t="shared" si="23"/>
        <v>0</v>
      </c>
      <c r="AT27" s="79" t="e">
        <f t="shared" si="23"/>
        <v>#DIV/0!</v>
      </c>
      <c r="AU27" s="79" t="e">
        <f>AU12/AU8</f>
        <v>#DIV/0!</v>
      </c>
      <c r="AV27" s="102">
        <f>AV12/AV8</f>
        <v>0</v>
      </c>
      <c r="AX27" s="108" t="s">
        <v>44</v>
      </c>
      <c r="AY27" s="271" t="s">
        <v>45</v>
      </c>
      <c r="AZ27" s="272"/>
      <c r="BA27" s="63"/>
      <c r="BB27" s="63"/>
      <c r="BE27" s="117"/>
      <c r="BF27" s="117"/>
      <c r="BG27" s="118"/>
      <c r="BH27" s="114"/>
    </row>
    <row r="28" spans="1:60" ht="23.25">
      <c r="A28" s="55" t="s">
        <v>23</v>
      </c>
      <c r="B28" s="147">
        <v>1</v>
      </c>
      <c r="C28" s="147">
        <v>1</v>
      </c>
      <c r="D28" s="147">
        <v>0</v>
      </c>
      <c r="E28" s="147">
        <v>1</v>
      </c>
      <c r="F28" s="147">
        <v>0</v>
      </c>
      <c r="G28" s="147">
        <v>0</v>
      </c>
      <c r="H28" s="147">
        <v>1</v>
      </c>
      <c r="I28" s="147">
        <v>0</v>
      </c>
      <c r="J28" s="147">
        <v>0</v>
      </c>
      <c r="K28" s="147">
        <v>1</v>
      </c>
      <c r="L28" s="147">
        <v>3</v>
      </c>
      <c r="M28" s="147">
        <v>1</v>
      </c>
      <c r="N28" s="147">
        <v>2</v>
      </c>
      <c r="O28" s="147">
        <v>1</v>
      </c>
      <c r="P28" s="147">
        <v>0</v>
      </c>
      <c r="Q28" s="147">
        <v>2</v>
      </c>
      <c r="R28" s="147">
        <v>0</v>
      </c>
      <c r="S28" s="147">
        <v>1</v>
      </c>
      <c r="T28" s="147">
        <v>0</v>
      </c>
      <c r="U28" s="147">
        <v>2</v>
      </c>
      <c r="V28" s="147">
        <v>0</v>
      </c>
      <c r="W28" s="147">
        <v>0</v>
      </c>
      <c r="X28" s="147">
        <v>0</v>
      </c>
      <c r="Y28" s="147">
        <v>0</v>
      </c>
      <c r="Z28" s="147">
        <v>1</v>
      </c>
      <c r="AA28" s="147">
        <v>0</v>
      </c>
      <c r="AB28" s="147">
        <v>0</v>
      </c>
      <c r="AC28" s="147">
        <v>1</v>
      </c>
      <c r="AD28" s="147">
        <v>0</v>
      </c>
      <c r="AE28" s="147">
        <v>1</v>
      </c>
      <c r="AF28" s="147">
        <v>0</v>
      </c>
      <c r="AG28" s="63">
        <f t="shared" si="24"/>
        <v>20</v>
      </c>
      <c r="AH28" s="63"/>
      <c r="AI28" s="63">
        <f t="shared" ref="AI28:AI33" si="25">AG28-AH28</f>
        <v>20</v>
      </c>
      <c r="AK28" s="80" t="s">
        <v>34</v>
      </c>
      <c r="AL28" s="81">
        <f>AL13/AL9</f>
        <v>1.2142857142857142</v>
      </c>
      <c r="AM28" s="81">
        <f t="shared" si="23"/>
        <v>1.6363636363636365</v>
      </c>
      <c r="AN28" s="81">
        <f t="shared" si="23"/>
        <v>2.3333333333333335</v>
      </c>
      <c r="AO28" s="81">
        <f t="shared" si="23"/>
        <v>3</v>
      </c>
      <c r="AP28" s="81">
        <f t="shared" si="23"/>
        <v>1.125</v>
      </c>
      <c r="AQ28" s="81">
        <f t="shared" si="23"/>
        <v>1.24</v>
      </c>
      <c r="AR28" s="81">
        <f t="shared" si="23"/>
        <v>1.2</v>
      </c>
      <c r="AS28" s="81">
        <f t="shared" si="23"/>
        <v>1.1805555555555556</v>
      </c>
      <c r="AT28" s="81">
        <f t="shared" si="23"/>
        <v>1.0555555555555556</v>
      </c>
      <c r="AU28" s="81">
        <f t="shared" si="23"/>
        <v>1.2727272727272727</v>
      </c>
      <c r="AV28" s="107">
        <f t="shared" si="23"/>
        <v>1.319838056680162</v>
      </c>
      <c r="AX28" s="97" t="s">
        <v>46</v>
      </c>
      <c r="AY28" s="273">
        <v>100</v>
      </c>
      <c r="AZ28" s="274"/>
      <c r="BA28" s="109"/>
      <c r="BB28" s="109"/>
      <c r="BE28" s="112"/>
      <c r="BF28" s="112"/>
      <c r="BG28" s="113"/>
      <c r="BH28" s="112"/>
    </row>
    <row r="29" spans="1:60" ht="21.75" thickBot="1">
      <c r="A29" s="55" t="s">
        <v>24</v>
      </c>
      <c r="B29" s="147">
        <v>0</v>
      </c>
      <c r="C29" s="147">
        <v>0</v>
      </c>
      <c r="D29" s="147">
        <v>0</v>
      </c>
      <c r="E29" s="147">
        <v>0</v>
      </c>
      <c r="F29" s="147">
        <v>0</v>
      </c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0</v>
      </c>
      <c r="P29" s="147">
        <v>0</v>
      </c>
      <c r="Q29" s="147">
        <v>0</v>
      </c>
      <c r="R29" s="147">
        <v>0</v>
      </c>
      <c r="S29" s="147">
        <v>0</v>
      </c>
      <c r="T29" s="147">
        <v>0</v>
      </c>
      <c r="U29" s="147">
        <v>0</v>
      </c>
      <c r="V29" s="147">
        <v>1</v>
      </c>
      <c r="W29" s="147">
        <v>0</v>
      </c>
      <c r="X29" s="147">
        <v>0</v>
      </c>
      <c r="Y29" s="147">
        <v>0</v>
      </c>
      <c r="Z29" s="147">
        <v>1</v>
      </c>
      <c r="AA29" s="147">
        <v>0</v>
      </c>
      <c r="AB29" s="147">
        <v>0</v>
      </c>
      <c r="AC29" s="147">
        <v>0</v>
      </c>
      <c r="AD29" s="147">
        <v>0</v>
      </c>
      <c r="AE29" s="147">
        <v>0</v>
      </c>
      <c r="AF29" s="147">
        <v>0</v>
      </c>
      <c r="AG29" s="63">
        <f t="shared" si="24"/>
        <v>2</v>
      </c>
      <c r="AH29" s="63"/>
      <c r="AI29" s="63">
        <f t="shared" si="25"/>
        <v>2</v>
      </c>
      <c r="AR29" s="82"/>
      <c r="AS29" s="83"/>
      <c r="AT29" s="82"/>
      <c r="AU29" s="82"/>
      <c r="AX29" s="103" t="s">
        <v>47</v>
      </c>
      <c r="AY29" s="275">
        <v>50</v>
      </c>
      <c r="AZ29" s="276"/>
      <c r="BA29" s="63"/>
      <c r="BB29" s="63"/>
      <c r="BE29" s="112"/>
      <c r="BF29" s="112"/>
      <c r="BG29" s="113"/>
      <c r="BH29" s="114"/>
    </row>
    <row r="30" spans="1:60" ht="21">
      <c r="A30" s="55" t="s">
        <v>26</v>
      </c>
      <c r="B30" s="147">
        <v>0</v>
      </c>
      <c r="C30" s="147">
        <v>0</v>
      </c>
      <c r="D30" s="147">
        <v>1</v>
      </c>
      <c r="E30" s="147">
        <v>0</v>
      </c>
      <c r="F30" s="147">
        <v>0</v>
      </c>
      <c r="G30" s="147">
        <v>2</v>
      </c>
      <c r="H30" s="147">
        <v>0</v>
      </c>
      <c r="I30" s="147">
        <v>0</v>
      </c>
      <c r="J30" s="147">
        <v>0</v>
      </c>
      <c r="K30" s="147">
        <v>0</v>
      </c>
      <c r="L30" s="147">
        <v>0</v>
      </c>
      <c r="M30" s="147">
        <v>0</v>
      </c>
      <c r="N30" s="147">
        <v>0</v>
      </c>
      <c r="O30" s="147">
        <v>0</v>
      </c>
      <c r="P30" s="147">
        <v>1</v>
      </c>
      <c r="Q30" s="147">
        <v>0</v>
      </c>
      <c r="R30" s="147">
        <v>0</v>
      </c>
      <c r="S30" s="147">
        <v>0</v>
      </c>
      <c r="T30" s="147">
        <v>2</v>
      </c>
      <c r="U30" s="147">
        <v>0</v>
      </c>
      <c r="V30" s="147">
        <v>0</v>
      </c>
      <c r="W30" s="147">
        <v>0</v>
      </c>
      <c r="X30" s="147">
        <v>1</v>
      </c>
      <c r="Y30" s="147">
        <v>0</v>
      </c>
      <c r="Z30" s="147">
        <v>1</v>
      </c>
      <c r="AA30" s="147">
        <v>0</v>
      </c>
      <c r="AB30" s="147">
        <v>2</v>
      </c>
      <c r="AC30" s="147">
        <v>0</v>
      </c>
      <c r="AD30" s="147">
        <v>0</v>
      </c>
      <c r="AE30" s="147">
        <v>1</v>
      </c>
      <c r="AF30" s="147">
        <v>4</v>
      </c>
      <c r="AG30" s="63">
        <f t="shared" si="24"/>
        <v>15</v>
      </c>
      <c r="AH30" s="63"/>
      <c r="AI30" s="63">
        <f t="shared" si="25"/>
        <v>15</v>
      </c>
      <c r="AN30" s="82"/>
      <c r="BE30" s="112"/>
      <c r="BF30" s="112"/>
      <c r="BG30" s="113"/>
      <c r="BH30" s="114"/>
    </row>
    <row r="31" spans="1:60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171"/>
      <c r="Y31" s="57"/>
      <c r="Z31" s="57"/>
      <c r="AA31" s="57"/>
      <c r="AB31" s="57"/>
      <c r="AC31" s="57"/>
      <c r="AD31" s="57"/>
      <c r="AE31" s="57"/>
      <c r="AF31" s="57"/>
      <c r="AG31" s="63">
        <f t="shared" si="24"/>
        <v>0</v>
      </c>
      <c r="AH31" s="70"/>
      <c r="AI31" s="63">
        <f t="shared" si="25"/>
        <v>0</v>
      </c>
      <c r="AO31" s="82"/>
      <c r="BE31" s="112"/>
      <c r="BF31" s="112"/>
      <c r="BG31" s="113"/>
      <c r="BH31" s="114"/>
    </row>
    <row r="32" spans="1:60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172"/>
      <c r="Y32" s="58"/>
      <c r="Z32" s="58"/>
      <c r="AA32" s="58"/>
      <c r="AB32" s="58"/>
      <c r="AC32" s="58"/>
      <c r="AD32" s="58"/>
      <c r="AE32" s="58"/>
      <c r="AF32" s="58"/>
      <c r="AG32" s="63">
        <f t="shared" si="24"/>
        <v>0</v>
      </c>
      <c r="AH32" s="71"/>
      <c r="AI32" s="63">
        <f t="shared" si="25"/>
        <v>0</v>
      </c>
      <c r="AN32" s="82"/>
      <c r="BE32" s="112"/>
      <c r="BF32" s="112"/>
      <c r="BG32" s="113"/>
      <c r="BH32" s="112"/>
    </row>
    <row r="33" spans="1:60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5"/>
      <c r="Y33" s="56"/>
      <c r="Z33" s="56"/>
      <c r="AA33" s="56"/>
      <c r="AB33" s="56"/>
      <c r="AC33" s="56"/>
      <c r="AD33" s="56"/>
      <c r="AE33" s="56"/>
      <c r="AF33" s="56"/>
      <c r="AG33" s="63">
        <f t="shared" si="24"/>
        <v>0</v>
      </c>
      <c r="AH33" s="63"/>
      <c r="AI33" s="63">
        <f t="shared" si="25"/>
        <v>0</v>
      </c>
      <c r="AM33" s="82"/>
      <c r="BE33" s="112"/>
      <c r="BF33" s="112"/>
      <c r="BG33" s="113"/>
      <c r="BH33" s="114"/>
    </row>
    <row r="34" spans="1:60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E34" s="112"/>
      <c r="BF34" s="112"/>
      <c r="BG34" s="113"/>
      <c r="BH34" s="114"/>
    </row>
    <row r="35" spans="1:60" ht="21">
      <c r="A35" s="53"/>
      <c r="B35" s="54">
        <v>46082</v>
      </c>
      <c r="C35" s="54">
        <v>46083</v>
      </c>
      <c r="D35" s="54">
        <v>46084</v>
      </c>
      <c r="E35" s="54">
        <v>46085</v>
      </c>
      <c r="F35" s="54">
        <v>46086</v>
      </c>
      <c r="G35" s="54">
        <v>46087</v>
      </c>
      <c r="H35" s="54">
        <v>46088</v>
      </c>
      <c r="I35" s="54">
        <v>46089</v>
      </c>
      <c r="J35" s="54">
        <v>46090</v>
      </c>
      <c r="K35" s="54">
        <v>46091</v>
      </c>
      <c r="L35" s="54">
        <v>46092</v>
      </c>
      <c r="M35" s="54">
        <v>46093</v>
      </c>
      <c r="N35" s="54">
        <v>46094</v>
      </c>
      <c r="O35" s="54">
        <v>46095</v>
      </c>
      <c r="P35" s="54">
        <v>46096</v>
      </c>
      <c r="Q35" s="54">
        <v>46097</v>
      </c>
      <c r="R35" s="54">
        <v>46098</v>
      </c>
      <c r="S35" s="54">
        <v>46099</v>
      </c>
      <c r="T35" s="54">
        <v>46100</v>
      </c>
      <c r="U35" s="54">
        <v>46101</v>
      </c>
      <c r="V35" s="54">
        <v>46102</v>
      </c>
      <c r="W35" s="54">
        <v>46103</v>
      </c>
      <c r="X35" s="54">
        <v>46104</v>
      </c>
      <c r="Y35" s="54">
        <v>46105</v>
      </c>
      <c r="Z35" s="54">
        <v>46106</v>
      </c>
      <c r="AA35" s="54">
        <v>46107</v>
      </c>
      <c r="AB35" s="54">
        <v>46108</v>
      </c>
      <c r="AC35" s="54">
        <v>46109</v>
      </c>
      <c r="AD35" s="54">
        <v>46110</v>
      </c>
      <c r="AE35" s="54">
        <v>46111</v>
      </c>
      <c r="AF35" s="54">
        <v>46112</v>
      </c>
      <c r="AG35" s="61" t="s">
        <v>2</v>
      </c>
      <c r="AH35" s="61" t="s">
        <v>49</v>
      </c>
      <c r="AI35" s="62" t="s">
        <v>50</v>
      </c>
      <c r="AM35" s="82"/>
      <c r="BE35" s="112"/>
      <c r="BF35" s="112"/>
      <c r="BG35" s="113"/>
      <c r="BH35" s="116"/>
    </row>
    <row r="36" spans="1:60" ht="21">
      <c r="A36" s="55" t="s">
        <v>5</v>
      </c>
      <c r="B36" s="56">
        <v>12</v>
      </c>
      <c r="C36" s="56">
        <v>26</v>
      </c>
      <c r="D36" s="56">
        <v>20</v>
      </c>
      <c r="E36" s="56">
        <v>16</v>
      </c>
      <c r="F36" s="56">
        <v>15</v>
      </c>
      <c r="G36" s="56">
        <v>14</v>
      </c>
      <c r="H36" s="56">
        <v>36</v>
      </c>
      <c r="I36" s="56">
        <v>16</v>
      </c>
      <c r="J36" s="56">
        <v>11</v>
      </c>
      <c r="K36" s="56">
        <v>20</v>
      </c>
      <c r="L36" s="56">
        <v>14</v>
      </c>
      <c r="M36" s="56">
        <v>13</v>
      </c>
      <c r="N36" s="56">
        <v>19</v>
      </c>
      <c r="O36" s="56">
        <v>32</v>
      </c>
      <c r="P36" s="56">
        <v>17</v>
      </c>
      <c r="Q36" s="56">
        <v>10</v>
      </c>
      <c r="R36" s="56">
        <v>6</v>
      </c>
      <c r="S36" s="56">
        <v>13</v>
      </c>
      <c r="T36" s="56">
        <v>18</v>
      </c>
      <c r="U36" s="56">
        <v>21</v>
      </c>
      <c r="V36" s="56">
        <v>22</v>
      </c>
      <c r="W36" s="56">
        <v>14</v>
      </c>
      <c r="X36" s="56">
        <v>18</v>
      </c>
      <c r="Y36" s="56">
        <v>11</v>
      </c>
      <c r="Z36" s="56">
        <v>3</v>
      </c>
      <c r="AA36" s="56">
        <v>17</v>
      </c>
      <c r="AB36" s="56">
        <v>25</v>
      </c>
      <c r="AC36" s="56">
        <v>22</v>
      </c>
      <c r="AD36" s="56">
        <v>19</v>
      </c>
      <c r="AE36" s="56">
        <v>18</v>
      </c>
      <c r="AF36" s="56">
        <v>20</v>
      </c>
      <c r="AG36" s="63">
        <f>SUM(B36:AF36)</f>
        <v>538</v>
      </c>
      <c r="AH36" s="63"/>
      <c r="AI36" s="63">
        <f>AG36</f>
        <v>538</v>
      </c>
      <c r="AN36" s="82"/>
      <c r="BE36" s="112"/>
      <c r="BF36" s="112"/>
      <c r="BG36" s="113"/>
      <c r="BH36" s="116"/>
    </row>
    <row r="37" spans="1:60" ht="21">
      <c r="A37" s="55" t="s">
        <v>21</v>
      </c>
      <c r="B37" s="56">
        <v>3</v>
      </c>
      <c r="C37" s="56">
        <v>18</v>
      </c>
      <c r="D37" s="56">
        <v>15</v>
      </c>
      <c r="E37" s="56">
        <v>14</v>
      </c>
      <c r="F37" s="56">
        <v>13</v>
      </c>
      <c r="G37" s="56">
        <v>11</v>
      </c>
      <c r="H37" s="56">
        <v>31</v>
      </c>
      <c r="I37" s="56">
        <v>11</v>
      </c>
      <c r="J37" s="56">
        <v>8</v>
      </c>
      <c r="K37" s="56">
        <v>12</v>
      </c>
      <c r="L37" s="56">
        <v>12</v>
      </c>
      <c r="M37" s="56">
        <v>10</v>
      </c>
      <c r="N37" s="56">
        <v>15</v>
      </c>
      <c r="O37" s="56">
        <v>27</v>
      </c>
      <c r="P37" s="56">
        <v>15</v>
      </c>
      <c r="Q37" s="56">
        <v>7</v>
      </c>
      <c r="R37" s="56">
        <v>6</v>
      </c>
      <c r="S37" s="56">
        <v>9</v>
      </c>
      <c r="T37" s="56">
        <v>12</v>
      </c>
      <c r="U37" s="56">
        <v>17</v>
      </c>
      <c r="V37" s="56">
        <v>18</v>
      </c>
      <c r="W37" s="56">
        <v>5</v>
      </c>
      <c r="X37" s="56">
        <v>16</v>
      </c>
      <c r="Y37" s="56">
        <v>7</v>
      </c>
      <c r="Z37" s="56">
        <v>1</v>
      </c>
      <c r="AA37" s="56">
        <v>14</v>
      </c>
      <c r="AB37" s="56">
        <v>23</v>
      </c>
      <c r="AC37" s="56">
        <v>19</v>
      </c>
      <c r="AD37" s="56">
        <v>17</v>
      </c>
      <c r="AE37" s="56">
        <v>11</v>
      </c>
      <c r="AF37" s="56">
        <v>13</v>
      </c>
      <c r="AG37" s="63">
        <f t="shared" ref="AG37:AG44" si="26">SUM(B37:AF37)</f>
        <v>410</v>
      </c>
      <c r="AH37" s="63"/>
      <c r="AI37" s="63">
        <f>AG37+AH39+AH40+AH41</f>
        <v>410</v>
      </c>
      <c r="AM37" s="82"/>
      <c r="AO37" s="82"/>
      <c r="BE37" s="112"/>
      <c r="BF37" s="112"/>
      <c r="BG37" s="113"/>
      <c r="BH37" s="116"/>
    </row>
    <row r="38" spans="1:60" ht="21">
      <c r="A38" s="55" t="s">
        <v>22</v>
      </c>
      <c r="B38" s="147">
        <v>3</v>
      </c>
      <c r="C38" s="147">
        <v>17</v>
      </c>
      <c r="D38" s="147">
        <v>12</v>
      </c>
      <c r="E38" s="147">
        <v>14</v>
      </c>
      <c r="F38" s="147">
        <v>13</v>
      </c>
      <c r="G38" s="147">
        <v>9</v>
      </c>
      <c r="H38" s="147">
        <v>26</v>
      </c>
      <c r="I38" s="147">
        <v>10</v>
      </c>
      <c r="J38" s="147">
        <v>7</v>
      </c>
      <c r="K38" s="147">
        <v>11</v>
      </c>
      <c r="L38" s="147">
        <v>10</v>
      </c>
      <c r="M38" s="147">
        <v>10</v>
      </c>
      <c r="N38" s="147">
        <v>15</v>
      </c>
      <c r="O38" s="147">
        <v>25</v>
      </c>
      <c r="P38" s="147">
        <v>15</v>
      </c>
      <c r="Q38" s="147">
        <v>7</v>
      </c>
      <c r="R38" s="147">
        <v>6</v>
      </c>
      <c r="S38" s="147">
        <v>6</v>
      </c>
      <c r="T38" s="147">
        <v>11</v>
      </c>
      <c r="U38" s="147">
        <v>17</v>
      </c>
      <c r="V38" s="147">
        <v>15</v>
      </c>
      <c r="W38" s="147">
        <v>5</v>
      </c>
      <c r="X38" s="147">
        <v>16</v>
      </c>
      <c r="Y38" s="147">
        <v>7</v>
      </c>
      <c r="Z38" s="147">
        <v>1</v>
      </c>
      <c r="AA38" s="147">
        <v>12</v>
      </c>
      <c r="AB38" s="147">
        <v>19</v>
      </c>
      <c r="AC38" s="147">
        <v>19</v>
      </c>
      <c r="AD38" s="147">
        <v>17</v>
      </c>
      <c r="AE38" s="147">
        <v>10</v>
      </c>
      <c r="AF38" s="147">
        <v>12</v>
      </c>
      <c r="AG38" s="63">
        <f t="shared" si="26"/>
        <v>377</v>
      </c>
      <c r="AH38" s="63"/>
      <c r="AI38" s="63">
        <f>AG38+AH39+AH40+AH41</f>
        <v>377</v>
      </c>
      <c r="AM38" s="82"/>
      <c r="BE38" s="112"/>
      <c r="BF38" s="112"/>
      <c r="BG38" s="116"/>
      <c r="BH38" s="114"/>
    </row>
    <row r="39" spans="1:60" ht="21">
      <c r="A39" s="55" t="s">
        <v>23</v>
      </c>
      <c r="B39" s="147">
        <v>0</v>
      </c>
      <c r="C39" s="147">
        <v>0</v>
      </c>
      <c r="D39" s="147">
        <v>1</v>
      </c>
      <c r="E39" s="147">
        <v>0</v>
      </c>
      <c r="F39" s="147">
        <v>0</v>
      </c>
      <c r="G39" s="147">
        <v>1</v>
      </c>
      <c r="H39" s="147">
        <v>2</v>
      </c>
      <c r="I39" s="147">
        <v>0</v>
      </c>
      <c r="J39" s="147">
        <v>0</v>
      </c>
      <c r="K39" s="147">
        <v>1</v>
      </c>
      <c r="L39" s="147">
        <v>1</v>
      </c>
      <c r="M39" s="147">
        <v>0</v>
      </c>
      <c r="N39" s="147">
        <v>0</v>
      </c>
      <c r="O39" s="147">
        <v>2</v>
      </c>
      <c r="P39" s="147">
        <v>0</v>
      </c>
      <c r="Q39" s="147">
        <v>0</v>
      </c>
      <c r="R39" s="147">
        <v>0</v>
      </c>
      <c r="S39" s="147">
        <v>0</v>
      </c>
      <c r="T39" s="147">
        <v>0</v>
      </c>
      <c r="U39" s="147">
        <v>0</v>
      </c>
      <c r="V39" s="147">
        <v>1</v>
      </c>
      <c r="W39" s="147">
        <v>0</v>
      </c>
      <c r="X39" s="147">
        <v>0</v>
      </c>
      <c r="Y39" s="147">
        <v>0</v>
      </c>
      <c r="Z39" s="147">
        <v>0</v>
      </c>
      <c r="AA39" s="147">
        <v>0</v>
      </c>
      <c r="AB39" s="147">
        <v>2</v>
      </c>
      <c r="AC39" s="147">
        <v>0</v>
      </c>
      <c r="AD39" s="147">
        <v>0</v>
      </c>
      <c r="AE39" s="147">
        <v>0</v>
      </c>
      <c r="AF39" s="147">
        <v>1</v>
      </c>
      <c r="AG39" s="63">
        <f t="shared" si="26"/>
        <v>12</v>
      </c>
      <c r="AH39" s="63"/>
      <c r="AI39" s="63">
        <f t="shared" ref="AI39:AI44" si="27">AG39-AH39</f>
        <v>12</v>
      </c>
      <c r="AM39" s="82"/>
    </row>
    <row r="40" spans="1:60" ht="21">
      <c r="A40" s="55" t="s">
        <v>24</v>
      </c>
      <c r="B40" s="147">
        <v>0</v>
      </c>
      <c r="C40" s="147">
        <v>1</v>
      </c>
      <c r="D40" s="147">
        <v>2</v>
      </c>
      <c r="E40" s="147">
        <v>0</v>
      </c>
      <c r="F40" s="147">
        <v>0</v>
      </c>
      <c r="G40" s="147">
        <v>1</v>
      </c>
      <c r="H40" s="147">
        <v>1</v>
      </c>
      <c r="I40" s="147">
        <v>0</v>
      </c>
      <c r="J40" s="147">
        <v>0</v>
      </c>
      <c r="K40" s="147">
        <v>0</v>
      </c>
      <c r="L40" s="147">
        <v>1</v>
      </c>
      <c r="M40" s="147">
        <v>0</v>
      </c>
      <c r="N40" s="147">
        <v>0</v>
      </c>
      <c r="O40" s="147">
        <v>0</v>
      </c>
      <c r="P40" s="147">
        <v>0</v>
      </c>
      <c r="Q40" s="147">
        <v>0</v>
      </c>
      <c r="R40" s="147">
        <v>0</v>
      </c>
      <c r="S40" s="147">
        <v>3</v>
      </c>
      <c r="T40" s="147">
        <v>1</v>
      </c>
      <c r="U40" s="147">
        <v>0</v>
      </c>
      <c r="V40" s="147">
        <v>2</v>
      </c>
      <c r="W40" s="147">
        <v>0</v>
      </c>
      <c r="X40" s="147">
        <v>0</v>
      </c>
      <c r="Y40" s="147">
        <v>0</v>
      </c>
      <c r="Z40" s="147">
        <v>0</v>
      </c>
      <c r="AA40" s="147">
        <v>1</v>
      </c>
      <c r="AB40" s="147">
        <v>1</v>
      </c>
      <c r="AC40" s="147">
        <v>0</v>
      </c>
      <c r="AD40" s="147">
        <v>0</v>
      </c>
      <c r="AE40" s="147">
        <v>1</v>
      </c>
      <c r="AF40" s="147">
        <v>0</v>
      </c>
      <c r="AG40" s="63">
        <f t="shared" si="26"/>
        <v>15</v>
      </c>
      <c r="AH40" s="63"/>
      <c r="AI40" s="63">
        <f t="shared" si="27"/>
        <v>15</v>
      </c>
      <c r="AN40" s="82"/>
    </row>
    <row r="41" spans="1:60" ht="21">
      <c r="A41" s="55" t="s">
        <v>26</v>
      </c>
      <c r="B41" s="147">
        <v>0</v>
      </c>
      <c r="C41" s="147">
        <v>0</v>
      </c>
      <c r="D41" s="147">
        <v>0</v>
      </c>
      <c r="E41" s="147">
        <v>0</v>
      </c>
      <c r="F41" s="147">
        <v>0</v>
      </c>
      <c r="G41" s="147">
        <v>0</v>
      </c>
      <c r="H41" s="147">
        <v>2</v>
      </c>
      <c r="I41" s="147">
        <v>1</v>
      </c>
      <c r="J41" s="147">
        <v>1</v>
      </c>
      <c r="K41" s="147">
        <v>0</v>
      </c>
      <c r="L41" s="147">
        <v>0</v>
      </c>
      <c r="M41" s="147">
        <v>0</v>
      </c>
      <c r="N41" s="147">
        <v>0</v>
      </c>
      <c r="O41" s="147">
        <v>0</v>
      </c>
      <c r="P41" s="147">
        <v>0</v>
      </c>
      <c r="Q41" s="147">
        <v>0</v>
      </c>
      <c r="R41" s="147">
        <v>0</v>
      </c>
      <c r="S41" s="147">
        <v>0</v>
      </c>
      <c r="T41" s="147">
        <v>0</v>
      </c>
      <c r="U41" s="147">
        <v>0</v>
      </c>
      <c r="V41" s="147">
        <v>0</v>
      </c>
      <c r="W41" s="147">
        <v>0</v>
      </c>
      <c r="X41" s="147">
        <v>0</v>
      </c>
      <c r="Y41" s="147">
        <v>0</v>
      </c>
      <c r="Z41" s="147">
        <v>0</v>
      </c>
      <c r="AA41" s="147">
        <v>1</v>
      </c>
      <c r="AB41" s="147">
        <v>1</v>
      </c>
      <c r="AC41" s="147">
        <v>0</v>
      </c>
      <c r="AD41" s="147">
        <v>0</v>
      </c>
      <c r="AE41" s="147">
        <v>0</v>
      </c>
      <c r="AF41" s="147">
        <v>0</v>
      </c>
      <c r="AG41" s="63">
        <f t="shared" si="26"/>
        <v>6</v>
      </c>
      <c r="AH41" s="63"/>
      <c r="AI41" s="63">
        <f t="shared" si="27"/>
        <v>6</v>
      </c>
    </row>
    <row r="42" spans="1:60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171"/>
      <c r="Y42" s="57"/>
      <c r="Z42" s="57"/>
      <c r="AA42" s="57"/>
      <c r="AB42" s="57"/>
      <c r="AC42" s="57"/>
      <c r="AD42" s="57"/>
      <c r="AE42" s="57"/>
      <c r="AF42" s="57"/>
      <c r="AG42" s="63">
        <f t="shared" si="26"/>
        <v>0</v>
      </c>
      <c r="AH42" s="70"/>
      <c r="AI42" s="63">
        <f t="shared" si="27"/>
        <v>0</v>
      </c>
    </row>
    <row r="43" spans="1:60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172"/>
      <c r="Y43" s="58"/>
      <c r="Z43" s="58"/>
      <c r="AA43" s="58"/>
      <c r="AB43" s="58"/>
      <c r="AC43" s="58"/>
      <c r="AD43" s="58"/>
      <c r="AE43" s="58"/>
      <c r="AF43" s="58"/>
      <c r="AG43" s="63">
        <f t="shared" si="26"/>
        <v>0</v>
      </c>
      <c r="AH43" s="71"/>
      <c r="AI43" s="63">
        <f t="shared" si="27"/>
        <v>0</v>
      </c>
    </row>
    <row r="44" spans="1:60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5"/>
      <c r="Y44" s="56"/>
      <c r="Z44" s="56"/>
      <c r="AA44" s="56"/>
      <c r="AB44" s="56"/>
      <c r="AC44" s="56"/>
      <c r="AD44" s="56"/>
      <c r="AE44" s="56"/>
      <c r="AF44" s="56"/>
      <c r="AG44" s="63">
        <f t="shared" si="26"/>
        <v>0</v>
      </c>
      <c r="AH44" s="63"/>
      <c r="AI44" s="63">
        <f t="shared" si="27"/>
        <v>0</v>
      </c>
    </row>
    <row r="45" spans="1:60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0" ht="21">
      <c r="A46" s="53"/>
      <c r="B46" s="54">
        <v>46082</v>
      </c>
      <c r="C46" s="54">
        <v>46083</v>
      </c>
      <c r="D46" s="54">
        <v>46084</v>
      </c>
      <c r="E46" s="54">
        <v>46085</v>
      </c>
      <c r="F46" s="54">
        <v>46086</v>
      </c>
      <c r="G46" s="54">
        <v>46087</v>
      </c>
      <c r="H46" s="54">
        <v>46088</v>
      </c>
      <c r="I46" s="54">
        <v>46089</v>
      </c>
      <c r="J46" s="54">
        <v>46090</v>
      </c>
      <c r="K46" s="54">
        <v>46091</v>
      </c>
      <c r="L46" s="54">
        <v>46092</v>
      </c>
      <c r="M46" s="54">
        <v>46093</v>
      </c>
      <c r="N46" s="54">
        <v>46094</v>
      </c>
      <c r="O46" s="54">
        <v>46095</v>
      </c>
      <c r="P46" s="54">
        <v>46096</v>
      </c>
      <c r="Q46" s="54">
        <v>46097</v>
      </c>
      <c r="R46" s="54">
        <v>46098</v>
      </c>
      <c r="S46" s="54">
        <v>46099</v>
      </c>
      <c r="T46" s="54">
        <v>46100</v>
      </c>
      <c r="U46" s="54">
        <v>46101</v>
      </c>
      <c r="V46" s="54">
        <v>46102</v>
      </c>
      <c r="W46" s="54">
        <v>46103</v>
      </c>
      <c r="X46" s="54">
        <v>46104</v>
      </c>
      <c r="Y46" s="54">
        <v>46105</v>
      </c>
      <c r="Z46" s="54">
        <v>46106</v>
      </c>
      <c r="AA46" s="54">
        <v>46107</v>
      </c>
      <c r="AB46" s="54">
        <v>46108</v>
      </c>
      <c r="AC46" s="54">
        <v>46109</v>
      </c>
      <c r="AD46" s="54">
        <v>46110</v>
      </c>
      <c r="AE46" s="54">
        <v>46111</v>
      </c>
      <c r="AF46" s="54">
        <v>46112</v>
      </c>
      <c r="AG46" s="61" t="s">
        <v>2</v>
      </c>
      <c r="AH46" s="61" t="s">
        <v>3</v>
      </c>
      <c r="AI46" s="62" t="s">
        <v>52</v>
      </c>
    </row>
    <row r="47" spans="1:60" ht="21">
      <c r="A47" s="55" t="s">
        <v>5</v>
      </c>
      <c r="B47" s="56">
        <v>23</v>
      </c>
      <c r="C47" s="56">
        <v>30</v>
      </c>
      <c r="D47" s="56">
        <v>39</v>
      </c>
      <c r="E47" s="56">
        <v>19</v>
      </c>
      <c r="F47" s="56">
        <v>19</v>
      </c>
      <c r="G47" s="56">
        <v>15</v>
      </c>
      <c r="H47" s="56">
        <v>48</v>
      </c>
      <c r="I47" s="56">
        <v>22</v>
      </c>
      <c r="J47" s="56">
        <v>34</v>
      </c>
      <c r="K47" s="56">
        <v>21</v>
      </c>
      <c r="L47" s="56">
        <v>19</v>
      </c>
      <c r="M47" s="56">
        <v>20</v>
      </c>
      <c r="N47" s="56">
        <v>15</v>
      </c>
      <c r="O47" s="56">
        <v>45</v>
      </c>
      <c r="P47" s="56">
        <v>17</v>
      </c>
      <c r="Q47" s="56">
        <v>25</v>
      </c>
      <c r="R47" s="56">
        <v>27</v>
      </c>
      <c r="S47" s="56">
        <v>20</v>
      </c>
      <c r="T47" s="56">
        <v>27</v>
      </c>
      <c r="U47" s="56">
        <v>34</v>
      </c>
      <c r="V47" s="56">
        <v>30</v>
      </c>
      <c r="W47" s="56">
        <v>17</v>
      </c>
      <c r="X47" s="56">
        <v>18</v>
      </c>
      <c r="Y47" s="56">
        <v>15</v>
      </c>
      <c r="Z47" s="56">
        <v>22</v>
      </c>
      <c r="AA47" s="56">
        <v>18</v>
      </c>
      <c r="AB47" s="56">
        <v>30</v>
      </c>
      <c r="AC47" s="56">
        <v>42</v>
      </c>
      <c r="AD47" s="56">
        <v>29</v>
      </c>
      <c r="AE47" s="56">
        <v>22</v>
      </c>
      <c r="AF47" s="56">
        <v>20</v>
      </c>
      <c r="AG47" s="63">
        <f>SUM(B47:AF47)</f>
        <v>782</v>
      </c>
      <c r="AH47" s="63"/>
      <c r="AI47" s="63">
        <f>AG47</f>
        <v>782</v>
      </c>
    </row>
    <row r="48" spans="1:60" ht="21">
      <c r="A48" s="55" t="s">
        <v>21</v>
      </c>
      <c r="B48" s="56">
        <v>15</v>
      </c>
      <c r="C48" s="56">
        <v>18</v>
      </c>
      <c r="D48" s="56">
        <v>24</v>
      </c>
      <c r="E48" s="56">
        <v>11</v>
      </c>
      <c r="F48" s="56">
        <v>13</v>
      </c>
      <c r="G48" s="56">
        <v>7</v>
      </c>
      <c r="H48" s="56">
        <v>25</v>
      </c>
      <c r="I48" s="56">
        <v>15</v>
      </c>
      <c r="J48" s="56">
        <v>22</v>
      </c>
      <c r="K48" s="56">
        <v>10</v>
      </c>
      <c r="L48" s="56">
        <v>9</v>
      </c>
      <c r="M48" s="56">
        <v>14</v>
      </c>
      <c r="N48" s="56">
        <v>7</v>
      </c>
      <c r="O48" s="56">
        <v>26</v>
      </c>
      <c r="P48" s="56">
        <v>9</v>
      </c>
      <c r="Q48" s="56">
        <v>10</v>
      </c>
      <c r="R48" s="56">
        <v>16</v>
      </c>
      <c r="S48" s="56">
        <v>14</v>
      </c>
      <c r="T48" s="56">
        <v>14</v>
      </c>
      <c r="U48" s="56">
        <v>15</v>
      </c>
      <c r="V48" s="56">
        <v>16</v>
      </c>
      <c r="W48" s="56">
        <v>11</v>
      </c>
      <c r="X48" s="56">
        <v>11</v>
      </c>
      <c r="Y48" s="56">
        <v>11</v>
      </c>
      <c r="Z48" s="56">
        <v>15</v>
      </c>
      <c r="AA48" s="56">
        <v>11</v>
      </c>
      <c r="AB48" s="56">
        <v>17</v>
      </c>
      <c r="AC48" s="56">
        <v>25</v>
      </c>
      <c r="AD48" s="56">
        <v>16</v>
      </c>
      <c r="AE48" s="56">
        <v>12</v>
      </c>
      <c r="AF48" s="56">
        <v>11</v>
      </c>
      <c r="AG48" s="63">
        <f t="shared" ref="AG48:AG55" si="28">SUM(B48:AF48)</f>
        <v>450</v>
      </c>
      <c r="AH48" s="63"/>
      <c r="AI48" s="63">
        <f>AG48+AH50+AH51+AH52</f>
        <v>450</v>
      </c>
    </row>
    <row r="49" spans="1:35" ht="21">
      <c r="A49" s="55" t="s">
        <v>22</v>
      </c>
      <c r="B49" s="147">
        <v>15</v>
      </c>
      <c r="C49" s="147">
        <v>15</v>
      </c>
      <c r="D49" s="147">
        <v>23</v>
      </c>
      <c r="E49" s="147">
        <v>10</v>
      </c>
      <c r="F49" s="147">
        <v>12</v>
      </c>
      <c r="G49" s="147">
        <v>7</v>
      </c>
      <c r="H49" s="147">
        <v>23</v>
      </c>
      <c r="I49" s="147">
        <v>15</v>
      </c>
      <c r="J49" s="147">
        <v>21</v>
      </c>
      <c r="K49" s="147">
        <v>10</v>
      </c>
      <c r="L49" s="147">
        <v>9</v>
      </c>
      <c r="M49" s="147">
        <v>14</v>
      </c>
      <c r="N49" s="147">
        <v>7</v>
      </c>
      <c r="O49" s="147">
        <v>24</v>
      </c>
      <c r="P49" s="147">
        <v>8</v>
      </c>
      <c r="Q49" s="147">
        <v>9</v>
      </c>
      <c r="R49" s="147">
        <v>15</v>
      </c>
      <c r="S49" s="147">
        <v>12</v>
      </c>
      <c r="T49" s="147">
        <v>13</v>
      </c>
      <c r="U49" s="147">
        <v>15</v>
      </c>
      <c r="V49" s="147">
        <v>16</v>
      </c>
      <c r="W49" s="147">
        <v>11</v>
      </c>
      <c r="X49" s="147">
        <v>11</v>
      </c>
      <c r="Y49" s="147">
        <v>10</v>
      </c>
      <c r="Z49" s="147">
        <v>15</v>
      </c>
      <c r="AA49" s="147">
        <v>11</v>
      </c>
      <c r="AB49" s="147">
        <v>15</v>
      </c>
      <c r="AC49" s="147">
        <v>22</v>
      </c>
      <c r="AD49" s="147">
        <v>14</v>
      </c>
      <c r="AE49" s="147">
        <v>12</v>
      </c>
      <c r="AF49" s="147">
        <v>11</v>
      </c>
      <c r="AG49" s="63">
        <f t="shared" si="28"/>
        <v>425</v>
      </c>
      <c r="AH49" s="63"/>
      <c r="AI49" s="63">
        <f>AG49+AH50+AH51+AH52</f>
        <v>425</v>
      </c>
    </row>
    <row r="50" spans="1:35" ht="21">
      <c r="A50" s="55" t="s">
        <v>23</v>
      </c>
      <c r="B50" s="147">
        <v>0</v>
      </c>
      <c r="C50" s="147">
        <v>0</v>
      </c>
      <c r="D50" s="147">
        <v>0</v>
      </c>
      <c r="E50" s="147">
        <v>0</v>
      </c>
      <c r="F50" s="147">
        <v>0</v>
      </c>
      <c r="G50" s="147">
        <v>0</v>
      </c>
      <c r="H50" s="147">
        <v>0</v>
      </c>
      <c r="I50" s="147">
        <v>0</v>
      </c>
      <c r="J50" s="147">
        <v>0</v>
      </c>
      <c r="K50" s="147">
        <v>0</v>
      </c>
      <c r="L50" s="147">
        <v>0</v>
      </c>
      <c r="M50" s="147">
        <v>0</v>
      </c>
      <c r="N50" s="147">
        <v>0</v>
      </c>
      <c r="O50" s="147">
        <v>1</v>
      </c>
      <c r="P50" s="147">
        <v>1</v>
      </c>
      <c r="Q50" s="147">
        <v>0</v>
      </c>
      <c r="R50" s="147">
        <v>0</v>
      </c>
      <c r="S50" s="147">
        <v>0</v>
      </c>
      <c r="T50" s="147">
        <v>0</v>
      </c>
      <c r="U50" s="147">
        <v>0</v>
      </c>
      <c r="V50" s="147">
        <v>0</v>
      </c>
      <c r="W50" s="147">
        <v>0</v>
      </c>
      <c r="X50" s="147">
        <v>0</v>
      </c>
      <c r="Y50" s="147">
        <v>0</v>
      </c>
      <c r="Z50" s="147">
        <v>0</v>
      </c>
      <c r="AA50" s="147">
        <v>0</v>
      </c>
      <c r="AB50" s="147">
        <v>0</v>
      </c>
      <c r="AC50" s="147">
        <v>0</v>
      </c>
      <c r="AD50" s="147">
        <v>0</v>
      </c>
      <c r="AE50" s="147">
        <v>0</v>
      </c>
      <c r="AF50" s="147">
        <v>0</v>
      </c>
      <c r="AG50" s="63">
        <f t="shared" si="28"/>
        <v>2</v>
      </c>
      <c r="AH50" s="63"/>
      <c r="AI50" s="63">
        <f t="shared" ref="AI50:AI55" si="29">AG50-AH50</f>
        <v>2</v>
      </c>
    </row>
    <row r="51" spans="1:35" ht="21">
      <c r="A51" s="55" t="s">
        <v>24</v>
      </c>
      <c r="B51" s="147">
        <v>0</v>
      </c>
      <c r="C51" s="147">
        <v>0</v>
      </c>
      <c r="D51" s="147">
        <v>0</v>
      </c>
      <c r="E51" s="147">
        <v>0</v>
      </c>
      <c r="F51" s="147">
        <v>1</v>
      </c>
      <c r="G51" s="147">
        <v>0</v>
      </c>
      <c r="H51" s="147">
        <v>1</v>
      </c>
      <c r="I51" s="147">
        <v>0</v>
      </c>
      <c r="J51" s="147">
        <v>0</v>
      </c>
      <c r="K51" s="147">
        <v>0</v>
      </c>
      <c r="L51" s="147">
        <v>0</v>
      </c>
      <c r="M51" s="147">
        <v>0</v>
      </c>
      <c r="N51" s="147">
        <v>0</v>
      </c>
      <c r="O51" s="147">
        <v>0</v>
      </c>
      <c r="P51" s="147">
        <v>0</v>
      </c>
      <c r="Q51" s="147">
        <v>0</v>
      </c>
      <c r="R51" s="147">
        <v>0</v>
      </c>
      <c r="S51" s="147">
        <v>0</v>
      </c>
      <c r="T51" s="147">
        <v>1</v>
      </c>
      <c r="U51" s="147">
        <v>0</v>
      </c>
      <c r="V51" s="147">
        <v>0</v>
      </c>
      <c r="W51" s="147">
        <v>0</v>
      </c>
      <c r="X51" s="147">
        <v>0</v>
      </c>
      <c r="Y51" s="147">
        <v>0</v>
      </c>
      <c r="Z51" s="147">
        <v>0</v>
      </c>
      <c r="AA51" s="147">
        <v>0</v>
      </c>
      <c r="AB51" s="147">
        <v>1</v>
      </c>
      <c r="AC51" s="147">
        <v>2</v>
      </c>
      <c r="AD51" s="147">
        <v>1</v>
      </c>
      <c r="AE51" s="147">
        <v>0</v>
      </c>
      <c r="AF51" s="147">
        <v>0</v>
      </c>
      <c r="AG51" s="63">
        <f t="shared" si="28"/>
        <v>7</v>
      </c>
      <c r="AH51" s="63"/>
      <c r="AI51" s="63">
        <f t="shared" si="29"/>
        <v>7</v>
      </c>
    </row>
    <row r="52" spans="1:35" ht="21">
      <c r="A52" s="55" t="s">
        <v>26</v>
      </c>
      <c r="B52" s="147">
        <v>0</v>
      </c>
      <c r="C52" s="147">
        <v>3</v>
      </c>
      <c r="D52" s="147">
        <v>1</v>
      </c>
      <c r="E52" s="147">
        <v>1</v>
      </c>
      <c r="F52" s="147">
        <v>0</v>
      </c>
      <c r="G52" s="147">
        <v>0</v>
      </c>
      <c r="H52" s="147">
        <v>1</v>
      </c>
      <c r="I52" s="147">
        <v>0</v>
      </c>
      <c r="J52" s="147">
        <v>1</v>
      </c>
      <c r="K52" s="147">
        <v>0</v>
      </c>
      <c r="L52" s="147">
        <v>0</v>
      </c>
      <c r="M52" s="147">
        <v>0</v>
      </c>
      <c r="N52" s="147">
        <v>0</v>
      </c>
      <c r="O52" s="147">
        <v>1</v>
      </c>
      <c r="P52" s="147">
        <v>0</v>
      </c>
      <c r="Q52" s="147">
        <v>1</v>
      </c>
      <c r="R52" s="147">
        <v>1</v>
      </c>
      <c r="S52" s="147">
        <v>2</v>
      </c>
      <c r="T52" s="147">
        <v>0</v>
      </c>
      <c r="U52" s="147">
        <v>0</v>
      </c>
      <c r="V52" s="147">
        <v>0</v>
      </c>
      <c r="W52" s="147">
        <v>0</v>
      </c>
      <c r="X52" s="147">
        <v>0</v>
      </c>
      <c r="Y52" s="147">
        <v>1</v>
      </c>
      <c r="Z52" s="147">
        <v>0</v>
      </c>
      <c r="AA52" s="147">
        <v>0</v>
      </c>
      <c r="AB52" s="147">
        <v>1</v>
      </c>
      <c r="AC52" s="147">
        <v>1</v>
      </c>
      <c r="AD52" s="147">
        <v>1</v>
      </c>
      <c r="AE52" s="147">
        <v>0</v>
      </c>
      <c r="AF52" s="147">
        <v>0</v>
      </c>
      <c r="AG52" s="63">
        <f t="shared" si="28"/>
        <v>16</v>
      </c>
      <c r="AH52" s="63"/>
      <c r="AI52" s="63">
        <f t="shared" si="29"/>
        <v>16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171"/>
      <c r="Y53" s="57"/>
      <c r="Z53" s="57"/>
      <c r="AA53" s="57"/>
      <c r="AB53" s="57"/>
      <c r="AC53" s="57"/>
      <c r="AD53" s="57"/>
      <c r="AE53" s="57"/>
      <c r="AF53" s="57"/>
      <c r="AG53" s="63">
        <f t="shared" si="28"/>
        <v>0</v>
      </c>
      <c r="AH53" s="70"/>
      <c r="AI53" s="63">
        <f t="shared" si="29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172"/>
      <c r="Y54" s="58"/>
      <c r="Z54" s="58"/>
      <c r="AA54" s="58"/>
      <c r="AB54" s="58"/>
      <c r="AC54" s="58"/>
      <c r="AD54" s="58"/>
      <c r="AE54" s="58"/>
      <c r="AF54" s="58"/>
      <c r="AG54" s="63">
        <f t="shared" si="28"/>
        <v>0</v>
      </c>
      <c r="AH54" s="71"/>
      <c r="AI54" s="63">
        <f t="shared" si="29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5"/>
      <c r="Y55" s="56"/>
      <c r="Z55" s="56"/>
      <c r="AA55" s="56"/>
      <c r="AB55" s="56"/>
      <c r="AC55" s="56"/>
      <c r="AD55" s="56"/>
      <c r="AE55" s="56"/>
      <c r="AF55" s="56"/>
      <c r="AG55" s="63">
        <f t="shared" si="28"/>
        <v>0</v>
      </c>
      <c r="AH55" s="63"/>
      <c r="AI55" s="63">
        <f t="shared" si="29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46082</v>
      </c>
      <c r="C57" s="54">
        <v>46083</v>
      </c>
      <c r="D57" s="54">
        <v>46084</v>
      </c>
      <c r="E57" s="54">
        <v>46085</v>
      </c>
      <c r="F57" s="54">
        <v>46086</v>
      </c>
      <c r="G57" s="54">
        <v>46087</v>
      </c>
      <c r="H57" s="54">
        <v>46088</v>
      </c>
      <c r="I57" s="54">
        <v>46089</v>
      </c>
      <c r="J57" s="54">
        <v>46090</v>
      </c>
      <c r="K57" s="54">
        <v>46091</v>
      </c>
      <c r="L57" s="54">
        <v>46092</v>
      </c>
      <c r="M57" s="54">
        <v>46093</v>
      </c>
      <c r="N57" s="54">
        <v>46094</v>
      </c>
      <c r="O57" s="54">
        <v>46095</v>
      </c>
      <c r="P57" s="54">
        <v>46096</v>
      </c>
      <c r="Q57" s="54">
        <v>46097</v>
      </c>
      <c r="R57" s="54">
        <v>46098</v>
      </c>
      <c r="S57" s="54">
        <v>46099</v>
      </c>
      <c r="T57" s="54">
        <v>46100</v>
      </c>
      <c r="U57" s="54">
        <v>46101</v>
      </c>
      <c r="V57" s="54">
        <v>46102</v>
      </c>
      <c r="W57" s="54">
        <v>46103</v>
      </c>
      <c r="X57" s="54">
        <v>46104</v>
      </c>
      <c r="Y57" s="54">
        <v>46105</v>
      </c>
      <c r="Z57" s="54">
        <v>46106</v>
      </c>
      <c r="AA57" s="54">
        <v>46107</v>
      </c>
      <c r="AB57" s="54">
        <v>46108</v>
      </c>
      <c r="AC57" s="54">
        <v>46109</v>
      </c>
      <c r="AD57" s="54">
        <v>46110</v>
      </c>
      <c r="AE57" s="54">
        <v>46111</v>
      </c>
      <c r="AF57" s="54">
        <v>46112</v>
      </c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40</v>
      </c>
      <c r="C58" s="56">
        <v>21</v>
      </c>
      <c r="D58" s="56">
        <v>20</v>
      </c>
      <c r="E58" s="56">
        <v>25</v>
      </c>
      <c r="F58" s="56">
        <v>23</v>
      </c>
      <c r="G58" s="56">
        <v>23</v>
      </c>
      <c r="H58" s="56">
        <v>47</v>
      </c>
      <c r="I58" s="56">
        <v>16</v>
      </c>
      <c r="J58" s="56">
        <v>19</v>
      </c>
      <c r="K58" s="56">
        <v>27</v>
      </c>
      <c r="L58" s="56">
        <v>24</v>
      </c>
      <c r="M58" s="56">
        <v>23</v>
      </c>
      <c r="N58" s="56">
        <v>19</v>
      </c>
      <c r="O58" s="56">
        <v>45</v>
      </c>
      <c r="P58" s="56">
        <v>26</v>
      </c>
      <c r="Q58" s="56">
        <v>29</v>
      </c>
      <c r="R58" s="56">
        <v>27</v>
      </c>
      <c r="S58" s="56">
        <v>29</v>
      </c>
      <c r="T58" s="56">
        <v>16</v>
      </c>
      <c r="U58" s="56">
        <v>18</v>
      </c>
      <c r="V58" s="56">
        <v>53</v>
      </c>
      <c r="W58" s="56">
        <v>17</v>
      </c>
      <c r="X58" s="56">
        <v>23</v>
      </c>
      <c r="Y58" s="56">
        <v>22</v>
      </c>
      <c r="Z58" s="56">
        <v>25</v>
      </c>
      <c r="AA58" s="56">
        <v>17</v>
      </c>
      <c r="AB58" s="56">
        <v>15</v>
      </c>
      <c r="AC58" s="56">
        <v>35</v>
      </c>
      <c r="AD58" s="56">
        <v>21</v>
      </c>
      <c r="AE58" s="56">
        <v>29</v>
      </c>
      <c r="AF58" s="56">
        <v>32</v>
      </c>
      <c r="AG58" s="63">
        <f>SUM(B58:AF58)</f>
        <v>806</v>
      </c>
      <c r="AH58" s="63"/>
      <c r="AI58" s="63">
        <f>AG58</f>
        <v>806</v>
      </c>
    </row>
    <row r="59" spans="1:35" ht="21">
      <c r="A59" s="55" t="s">
        <v>21</v>
      </c>
      <c r="B59" s="56">
        <v>25</v>
      </c>
      <c r="C59" s="56">
        <v>11</v>
      </c>
      <c r="D59" s="56">
        <v>12</v>
      </c>
      <c r="E59" s="56">
        <v>16</v>
      </c>
      <c r="F59" s="56">
        <v>16</v>
      </c>
      <c r="G59" s="56">
        <v>12</v>
      </c>
      <c r="H59" s="56">
        <v>26</v>
      </c>
      <c r="I59" s="56">
        <v>10</v>
      </c>
      <c r="J59" s="56">
        <v>5</v>
      </c>
      <c r="K59" s="56">
        <v>19</v>
      </c>
      <c r="L59" s="56">
        <v>14</v>
      </c>
      <c r="M59" s="56">
        <v>13</v>
      </c>
      <c r="N59" s="56">
        <v>14</v>
      </c>
      <c r="O59" s="56">
        <v>24</v>
      </c>
      <c r="P59" s="56">
        <v>13</v>
      </c>
      <c r="Q59" s="56">
        <v>13</v>
      </c>
      <c r="R59" s="56">
        <v>16</v>
      </c>
      <c r="S59" s="56">
        <v>21</v>
      </c>
      <c r="T59" s="56">
        <v>9</v>
      </c>
      <c r="U59" s="56">
        <v>14</v>
      </c>
      <c r="V59" s="56">
        <v>30</v>
      </c>
      <c r="W59" s="56">
        <v>10</v>
      </c>
      <c r="X59" s="56">
        <v>14</v>
      </c>
      <c r="Y59" s="56">
        <v>15</v>
      </c>
      <c r="Z59" s="56">
        <v>17</v>
      </c>
      <c r="AA59" s="56">
        <v>7</v>
      </c>
      <c r="AB59" s="56">
        <v>10</v>
      </c>
      <c r="AC59" s="56">
        <v>21</v>
      </c>
      <c r="AD59" s="56">
        <v>15</v>
      </c>
      <c r="AE59" s="56">
        <v>17</v>
      </c>
      <c r="AF59" s="56">
        <v>18</v>
      </c>
      <c r="AG59" s="63">
        <f t="shared" ref="AG59:AG66" si="30">SUM(B59:AF59)</f>
        <v>477</v>
      </c>
      <c r="AH59" s="63"/>
      <c r="AI59" s="63">
        <f>AG59+AH61+AH62+AH63</f>
        <v>477</v>
      </c>
    </row>
    <row r="60" spans="1:35" ht="21">
      <c r="A60" s="55" t="s">
        <v>22</v>
      </c>
      <c r="B60" s="147">
        <v>22</v>
      </c>
      <c r="C60" s="147">
        <v>11</v>
      </c>
      <c r="D60" s="147">
        <v>11</v>
      </c>
      <c r="E60" s="147">
        <v>16</v>
      </c>
      <c r="F60" s="147">
        <v>14</v>
      </c>
      <c r="G60" s="147">
        <v>12</v>
      </c>
      <c r="H60" s="147">
        <v>26</v>
      </c>
      <c r="I60" s="147">
        <v>6</v>
      </c>
      <c r="J60" s="147">
        <v>5</v>
      </c>
      <c r="K60" s="147">
        <v>17</v>
      </c>
      <c r="L60" s="147">
        <v>14</v>
      </c>
      <c r="M60" s="147">
        <v>11</v>
      </c>
      <c r="N60" s="147">
        <v>13</v>
      </c>
      <c r="O60" s="147">
        <v>23</v>
      </c>
      <c r="P60" s="147">
        <v>12</v>
      </c>
      <c r="Q60" s="147">
        <v>12</v>
      </c>
      <c r="R60" s="147">
        <v>14</v>
      </c>
      <c r="S60" s="147">
        <v>20</v>
      </c>
      <c r="T60" s="147">
        <v>9</v>
      </c>
      <c r="U60" s="147">
        <v>14</v>
      </c>
      <c r="V60" s="147">
        <v>28</v>
      </c>
      <c r="W60" s="147">
        <v>10</v>
      </c>
      <c r="X60" s="147">
        <v>14</v>
      </c>
      <c r="Y60" s="147">
        <v>12</v>
      </c>
      <c r="Z60" s="147">
        <v>15</v>
      </c>
      <c r="AA60" s="147">
        <v>6</v>
      </c>
      <c r="AB60" s="147">
        <v>10</v>
      </c>
      <c r="AC60" s="147">
        <v>19</v>
      </c>
      <c r="AD60" s="147">
        <v>13</v>
      </c>
      <c r="AE60" s="147">
        <v>15</v>
      </c>
      <c r="AF60" s="147">
        <v>18</v>
      </c>
      <c r="AG60" s="63">
        <f t="shared" si="30"/>
        <v>442</v>
      </c>
      <c r="AH60" s="63"/>
      <c r="AI60" s="63">
        <f>AG60+AH61+AH62+AH63</f>
        <v>442</v>
      </c>
    </row>
    <row r="61" spans="1:35" ht="21">
      <c r="A61" s="55" t="s">
        <v>23</v>
      </c>
      <c r="B61" s="147">
        <v>0</v>
      </c>
      <c r="C61" s="147">
        <v>0</v>
      </c>
      <c r="D61" s="147">
        <v>0</v>
      </c>
      <c r="E61" s="147">
        <v>0</v>
      </c>
      <c r="F61" s="147">
        <v>0</v>
      </c>
      <c r="G61" s="147">
        <v>0</v>
      </c>
      <c r="H61" s="147">
        <v>0</v>
      </c>
      <c r="I61" s="147">
        <v>1</v>
      </c>
      <c r="J61" s="147">
        <v>0</v>
      </c>
      <c r="K61" s="147">
        <v>1</v>
      </c>
      <c r="L61" s="147">
        <v>0</v>
      </c>
      <c r="M61" s="147">
        <v>0</v>
      </c>
      <c r="N61" s="147">
        <v>1</v>
      </c>
      <c r="O61" s="147">
        <v>1</v>
      </c>
      <c r="P61" s="147">
        <v>0</v>
      </c>
      <c r="Q61" s="147">
        <v>1</v>
      </c>
      <c r="R61" s="147">
        <v>0</v>
      </c>
      <c r="S61" s="147">
        <v>0</v>
      </c>
      <c r="T61" s="147">
        <v>0</v>
      </c>
      <c r="U61" s="147">
        <v>0</v>
      </c>
      <c r="V61" s="147">
        <v>1</v>
      </c>
      <c r="W61" s="147">
        <v>0</v>
      </c>
      <c r="X61" s="147">
        <v>0</v>
      </c>
      <c r="Y61" s="147">
        <v>0</v>
      </c>
      <c r="Z61" s="147">
        <v>0</v>
      </c>
      <c r="AA61" s="147">
        <v>0</v>
      </c>
      <c r="AB61" s="147">
        <v>0</v>
      </c>
      <c r="AC61" s="147">
        <v>0</v>
      </c>
      <c r="AD61" s="147">
        <v>0</v>
      </c>
      <c r="AE61" s="147">
        <v>0</v>
      </c>
      <c r="AF61" s="147">
        <v>0</v>
      </c>
      <c r="AG61" s="63">
        <f t="shared" si="30"/>
        <v>6</v>
      </c>
      <c r="AH61" s="63"/>
      <c r="AI61" s="63">
        <f t="shared" ref="AI61:AI66" si="31">AG61-AH61</f>
        <v>6</v>
      </c>
    </row>
    <row r="62" spans="1:35" ht="21">
      <c r="A62" s="55" t="s">
        <v>24</v>
      </c>
      <c r="B62" s="147">
        <v>0</v>
      </c>
      <c r="C62" s="147">
        <v>0</v>
      </c>
      <c r="D62" s="147">
        <v>0</v>
      </c>
      <c r="E62" s="147">
        <v>0</v>
      </c>
      <c r="F62" s="147">
        <v>0</v>
      </c>
      <c r="G62" s="147">
        <v>0</v>
      </c>
      <c r="H62" s="147">
        <v>0</v>
      </c>
      <c r="I62" s="147">
        <v>0</v>
      </c>
      <c r="J62" s="147">
        <v>0</v>
      </c>
      <c r="K62" s="147">
        <v>0</v>
      </c>
      <c r="L62" s="147">
        <v>0</v>
      </c>
      <c r="M62" s="147">
        <v>0</v>
      </c>
      <c r="N62" s="147">
        <v>0</v>
      </c>
      <c r="O62" s="147">
        <v>0</v>
      </c>
      <c r="P62" s="147">
        <v>1</v>
      </c>
      <c r="Q62" s="147">
        <v>0</v>
      </c>
      <c r="R62" s="147">
        <v>0</v>
      </c>
      <c r="S62" s="147">
        <v>0</v>
      </c>
      <c r="T62" s="147">
        <v>0</v>
      </c>
      <c r="U62" s="147">
        <v>0</v>
      </c>
      <c r="V62" s="147">
        <v>1</v>
      </c>
      <c r="W62" s="147">
        <v>0</v>
      </c>
      <c r="X62" s="147">
        <v>0</v>
      </c>
      <c r="Y62" s="147">
        <v>1</v>
      </c>
      <c r="Z62" s="147">
        <v>1</v>
      </c>
      <c r="AA62" s="147">
        <v>0</v>
      </c>
      <c r="AB62" s="147">
        <v>0</v>
      </c>
      <c r="AC62" s="147">
        <v>0</v>
      </c>
      <c r="AD62" s="147">
        <v>0</v>
      </c>
      <c r="AE62" s="147">
        <v>0</v>
      </c>
      <c r="AF62" s="147">
        <v>0</v>
      </c>
      <c r="AG62" s="63">
        <f t="shared" si="30"/>
        <v>4</v>
      </c>
      <c r="AH62" s="63"/>
      <c r="AI62" s="63">
        <f t="shared" si="31"/>
        <v>4</v>
      </c>
    </row>
    <row r="63" spans="1:35" ht="21">
      <c r="A63" s="55" t="s">
        <v>26</v>
      </c>
      <c r="B63" s="147">
        <v>3</v>
      </c>
      <c r="C63" s="147">
        <v>0</v>
      </c>
      <c r="D63" s="147">
        <v>1</v>
      </c>
      <c r="E63" s="147">
        <v>0</v>
      </c>
      <c r="F63" s="147">
        <v>2</v>
      </c>
      <c r="G63" s="147">
        <v>0</v>
      </c>
      <c r="H63" s="147">
        <v>0</v>
      </c>
      <c r="I63" s="147">
        <v>3</v>
      </c>
      <c r="J63" s="147">
        <v>0</v>
      </c>
      <c r="K63" s="147">
        <v>1</v>
      </c>
      <c r="L63" s="147">
        <v>0</v>
      </c>
      <c r="M63" s="147">
        <v>2</v>
      </c>
      <c r="N63" s="147">
        <v>0</v>
      </c>
      <c r="O63" s="147">
        <v>0</v>
      </c>
      <c r="P63" s="147">
        <v>0</v>
      </c>
      <c r="Q63" s="147">
        <v>0</v>
      </c>
      <c r="R63" s="147">
        <v>2</v>
      </c>
      <c r="S63" s="147">
        <v>1</v>
      </c>
      <c r="T63" s="147">
        <v>0</v>
      </c>
      <c r="U63" s="147">
        <v>0</v>
      </c>
      <c r="V63" s="147">
        <v>0</v>
      </c>
      <c r="W63" s="147">
        <v>0</v>
      </c>
      <c r="X63" s="147">
        <v>0</v>
      </c>
      <c r="Y63" s="147">
        <v>2</v>
      </c>
      <c r="Z63" s="147">
        <v>1</v>
      </c>
      <c r="AA63" s="147">
        <v>1</v>
      </c>
      <c r="AB63" s="147">
        <v>0</v>
      </c>
      <c r="AC63" s="147">
        <v>2</v>
      </c>
      <c r="AD63" s="147">
        <v>2</v>
      </c>
      <c r="AE63" s="147">
        <v>2</v>
      </c>
      <c r="AF63" s="147">
        <v>0</v>
      </c>
      <c r="AG63" s="63">
        <f t="shared" si="30"/>
        <v>25</v>
      </c>
      <c r="AH63" s="63"/>
      <c r="AI63" s="63">
        <f t="shared" si="31"/>
        <v>25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171"/>
      <c r="Y64" s="57"/>
      <c r="Z64" s="57"/>
      <c r="AA64" s="57"/>
      <c r="AB64" s="57"/>
      <c r="AC64" s="57"/>
      <c r="AD64" s="57"/>
      <c r="AE64" s="57"/>
      <c r="AF64" s="57"/>
      <c r="AG64" s="63">
        <f t="shared" si="30"/>
        <v>0</v>
      </c>
      <c r="AH64" s="70"/>
      <c r="AI64" s="63">
        <f t="shared" si="31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172"/>
      <c r="Y65" s="58"/>
      <c r="Z65" s="58"/>
      <c r="AA65" s="58"/>
      <c r="AB65" s="58"/>
      <c r="AC65" s="58"/>
      <c r="AD65" s="58"/>
      <c r="AE65" s="58"/>
      <c r="AF65" s="58"/>
      <c r="AG65" s="63">
        <f t="shared" si="30"/>
        <v>0</v>
      </c>
      <c r="AH65" s="71"/>
      <c r="AI65" s="63">
        <f t="shared" si="31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5"/>
      <c r="Y66" s="56"/>
      <c r="Z66" s="56"/>
      <c r="AA66" s="56"/>
      <c r="AB66" s="56"/>
      <c r="AC66" s="56"/>
      <c r="AD66" s="56"/>
      <c r="AE66" s="56"/>
      <c r="AF66" s="56"/>
      <c r="AG66" s="63">
        <f t="shared" si="30"/>
        <v>0</v>
      </c>
      <c r="AH66" s="63"/>
      <c r="AI66" s="63">
        <f t="shared" si="31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46082</v>
      </c>
      <c r="C68" s="54">
        <v>46083</v>
      </c>
      <c r="D68" s="54">
        <v>46084</v>
      </c>
      <c r="E68" s="54">
        <v>46085</v>
      </c>
      <c r="F68" s="54">
        <v>46086</v>
      </c>
      <c r="G68" s="54">
        <v>46087</v>
      </c>
      <c r="H68" s="54">
        <v>46088</v>
      </c>
      <c r="I68" s="54">
        <v>46089</v>
      </c>
      <c r="J68" s="54">
        <v>46090</v>
      </c>
      <c r="K68" s="54">
        <v>46091</v>
      </c>
      <c r="L68" s="54">
        <v>46092</v>
      </c>
      <c r="M68" s="54">
        <v>46093</v>
      </c>
      <c r="N68" s="54">
        <v>46094</v>
      </c>
      <c r="O68" s="54">
        <v>46095</v>
      </c>
      <c r="P68" s="54">
        <v>46096</v>
      </c>
      <c r="Q68" s="54">
        <v>46097</v>
      </c>
      <c r="R68" s="54">
        <v>46098</v>
      </c>
      <c r="S68" s="54">
        <v>46099</v>
      </c>
      <c r="T68" s="54">
        <v>46100</v>
      </c>
      <c r="U68" s="54">
        <v>46101</v>
      </c>
      <c r="V68" s="54">
        <v>46102</v>
      </c>
      <c r="W68" s="54">
        <v>46103</v>
      </c>
      <c r="X68" s="54">
        <v>46104</v>
      </c>
      <c r="Y68" s="54">
        <v>46105</v>
      </c>
      <c r="Z68" s="54">
        <v>46106</v>
      </c>
      <c r="AA68" s="54">
        <v>46107</v>
      </c>
      <c r="AB68" s="54">
        <v>46108</v>
      </c>
      <c r="AC68" s="54">
        <v>46109</v>
      </c>
      <c r="AD68" s="54">
        <v>46110</v>
      </c>
      <c r="AE68" s="54">
        <v>46111</v>
      </c>
      <c r="AF68" s="54">
        <v>46112</v>
      </c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>
        <v>38</v>
      </c>
      <c r="C69" s="56">
        <v>32</v>
      </c>
      <c r="D69" s="56">
        <v>26</v>
      </c>
      <c r="E69" s="56">
        <v>24</v>
      </c>
      <c r="F69" s="56">
        <v>12</v>
      </c>
      <c r="G69" s="56">
        <v>29</v>
      </c>
      <c r="H69" s="56">
        <v>72</v>
      </c>
      <c r="I69" s="56">
        <v>28</v>
      </c>
      <c r="J69" s="56">
        <v>23</v>
      </c>
      <c r="K69" s="56">
        <v>34</v>
      </c>
      <c r="L69" s="56">
        <v>23</v>
      </c>
      <c r="M69" s="56">
        <v>19</v>
      </c>
      <c r="N69" s="56">
        <v>36</v>
      </c>
      <c r="O69" s="56">
        <v>70</v>
      </c>
      <c r="P69" s="56">
        <v>25</v>
      </c>
      <c r="Q69" s="56">
        <v>23</v>
      </c>
      <c r="R69" s="56">
        <v>23</v>
      </c>
      <c r="S69" s="56">
        <v>17</v>
      </c>
      <c r="T69" s="56">
        <v>17</v>
      </c>
      <c r="U69" s="56">
        <v>47</v>
      </c>
      <c r="V69" s="56">
        <v>75</v>
      </c>
      <c r="W69" s="56">
        <v>28</v>
      </c>
      <c r="X69" s="55">
        <v>24</v>
      </c>
      <c r="Y69" s="56">
        <v>31</v>
      </c>
      <c r="Z69" s="56">
        <v>28</v>
      </c>
      <c r="AA69" s="56">
        <v>45</v>
      </c>
      <c r="AB69" s="56">
        <v>26</v>
      </c>
      <c r="AC69" s="56">
        <v>55</v>
      </c>
      <c r="AD69" s="56">
        <v>21</v>
      </c>
      <c r="AE69" s="56">
        <v>38</v>
      </c>
      <c r="AF69" s="56">
        <v>36</v>
      </c>
      <c r="AG69" s="63">
        <f>SUM(B69:AF69)</f>
        <v>1025</v>
      </c>
      <c r="AH69" s="63"/>
      <c r="AI69" s="63">
        <f>AG69</f>
        <v>1025</v>
      </c>
    </row>
    <row r="70" spans="1:35" ht="21">
      <c r="A70" s="55" t="s">
        <v>21</v>
      </c>
      <c r="B70" s="56">
        <v>22</v>
      </c>
      <c r="C70" s="56">
        <v>23</v>
      </c>
      <c r="D70" s="56">
        <v>14</v>
      </c>
      <c r="E70" s="56">
        <v>14</v>
      </c>
      <c r="F70" s="56">
        <v>5</v>
      </c>
      <c r="G70" s="56">
        <v>17</v>
      </c>
      <c r="H70" s="56">
        <v>40</v>
      </c>
      <c r="I70" s="56">
        <v>14</v>
      </c>
      <c r="J70" s="56">
        <v>15</v>
      </c>
      <c r="K70" s="56">
        <v>19</v>
      </c>
      <c r="L70" s="56">
        <v>13</v>
      </c>
      <c r="M70" s="56">
        <v>10</v>
      </c>
      <c r="N70" s="56">
        <v>20</v>
      </c>
      <c r="O70" s="56">
        <v>32</v>
      </c>
      <c r="P70" s="56">
        <v>14</v>
      </c>
      <c r="Q70" s="56">
        <v>12</v>
      </c>
      <c r="R70" s="56">
        <v>12</v>
      </c>
      <c r="S70" s="56">
        <v>9</v>
      </c>
      <c r="T70" s="56">
        <v>10</v>
      </c>
      <c r="U70" s="56">
        <v>25</v>
      </c>
      <c r="V70" s="56">
        <v>37</v>
      </c>
      <c r="W70" s="56">
        <v>15</v>
      </c>
      <c r="X70" s="55">
        <v>8</v>
      </c>
      <c r="Y70" s="56">
        <v>19</v>
      </c>
      <c r="Z70" s="56">
        <v>18</v>
      </c>
      <c r="AA70" s="56">
        <v>25</v>
      </c>
      <c r="AB70" s="56">
        <v>14</v>
      </c>
      <c r="AC70" s="56">
        <v>31</v>
      </c>
      <c r="AD70" s="56">
        <v>8</v>
      </c>
      <c r="AE70" s="56">
        <v>15</v>
      </c>
      <c r="AF70" s="56">
        <v>18</v>
      </c>
      <c r="AG70" s="63">
        <f t="shared" ref="AG70:AG77" si="32">SUM(B70:AF70)</f>
        <v>548</v>
      </c>
      <c r="AH70" s="63"/>
      <c r="AI70" s="63">
        <f>AG70+AH72+AH73+AH74</f>
        <v>548</v>
      </c>
    </row>
    <row r="71" spans="1:35" ht="21">
      <c r="A71" s="55" t="s">
        <v>22</v>
      </c>
      <c r="B71" s="147">
        <v>21</v>
      </c>
      <c r="C71" s="147">
        <v>22</v>
      </c>
      <c r="D71" s="147">
        <v>14</v>
      </c>
      <c r="E71" s="147">
        <v>13</v>
      </c>
      <c r="F71" s="147">
        <v>5</v>
      </c>
      <c r="G71" s="147">
        <v>15</v>
      </c>
      <c r="H71" s="147">
        <v>37</v>
      </c>
      <c r="I71" s="147">
        <v>14</v>
      </c>
      <c r="J71" s="147">
        <v>12</v>
      </c>
      <c r="K71" s="147">
        <v>18</v>
      </c>
      <c r="L71" s="147">
        <v>12</v>
      </c>
      <c r="M71" s="147">
        <v>9</v>
      </c>
      <c r="N71" s="147">
        <v>17</v>
      </c>
      <c r="O71" s="147">
        <v>29</v>
      </c>
      <c r="P71" s="147">
        <v>13</v>
      </c>
      <c r="Q71" s="147">
        <v>10</v>
      </c>
      <c r="R71" s="147">
        <v>10</v>
      </c>
      <c r="S71" s="147">
        <v>9</v>
      </c>
      <c r="T71" s="147">
        <v>9</v>
      </c>
      <c r="U71" s="147">
        <v>21</v>
      </c>
      <c r="V71" s="147">
        <v>36</v>
      </c>
      <c r="W71" s="147">
        <v>13</v>
      </c>
      <c r="X71" s="147">
        <v>6</v>
      </c>
      <c r="Y71" s="147">
        <v>15</v>
      </c>
      <c r="Z71" s="147">
        <v>15</v>
      </c>
      <c r="AA71" s="147">
        <v>23</v>
      </c>
      <c r="AB71" s="147">
        <v>13</v>
      </c>
      <c r="AC71" s="147">
        <v>25</v>
      </c>
      <c r="AD71" s="147">
        <v>8</v>
      </c>
      <c r="AE71" s="147">
        <v>13</v>
      </c>
      <c r="AF71" s="147">
        <v>16</v>
      </c>
      <c r="AG71" s="63">
        <f t="shared" si="32"/>
        <v>493</v>
      </c>
      <c r="AH71" s="63"/>
      <c r="AI71" s="63">
        <f>AG71+AH72+AH73+AH74</f>
        <v>493</v>
      </c>
    </row>
    <row r="72" spans="1:35" ht="21">
      <c r="A72" s="55" t="s">
        <v>23</v>
      </c>
      <c r="B72" s="147">
        <v>0</v>
      </c>
      <c r="C72" s="147">
        <v>1</v>
      </c>
      <c r="D72" s="147">
        <v>0</v>
      </c>
      <c r="E72" s="147">
        <v>0</v>
      </c>
      <c r="F72" s="147">
        <v>0</v>
      </c>
      <c r="G72" s="147">
        <v>0</v>
      </c>
      <c r="H72" s="147">
        <v>1</v>
      </c>
      <c r="I72" s="147">
        <v>0</v>
      </c>
      <c r="J72" s="147">
        <v>0</v>
      </c>
      <c r="K72" s="147">
        <v>0</v>
      </c>
      <c r="L72" s="147">
        <v>0</v>
      </c>
      <c r="M72" s="147">
        <v>0</v>
      </c>
      <c r="N72" s="147">
        <v>1</v>
      </c>
      <c r="O72" s="147">
        <v>1</v>
      </c>
      <c r="P72" s="147">
        <v>0</v>
      </c>
      <c r="Q72" s="147">
        <v>0</v>
      </c>
      <c r="R72" s="147">
        <v>0</v>
      </c>
      <c r="S72" s="147">
        <v>0</v>
      </c>
      <c r="T72" s="147">
        <v>0</v>
      </c>
      <c r="U72" s="147">
        <v>1</v>
      </c>
      <c r="V72" s="147">
        <v>0</v>
      </c>
      <c r="W72" s="147">
        <v>0</v>
      </c>
      <c r="X72" s="147">
        <v>0</v>
      </c>
      <c r="Y72" s="147">
        <v>1</v>
      </c>
      <c r="Z72" s="147">
        <v>0</v>
      </c>
      <c r="AA72" s="147">
        <v>0</v>
      </c>
      <c r="AB72" s="147">
        <v>0</v>
      </c>
      <c r="AC72" s="147">
        <v>0</v>
      </c>
      <c r="AD72" s="147">
        <v>0</v>
      </c>
      <c r="AE72" s="147">
        <v>1</v>
      </c>
      <c r="AF72" s="147">
        <v>2</v>
      </c>
      <c r="AG72" s="63">
        <f t="shared" si="32"/>
        <v>9</v>
      </c>
      <c r="AH72" s="63"/>
      <c r="AI72" s="63">
        <f t="shared" ref="AI72:AI77" si="33">AG72-AH72</f>
        <v>9</v>
      </c>
    </row>
    <row r="73" spans="1:35" ht="21">
      <c r="A73" s="55" t="s">
        <v>24</v>
      </c>
      <c r="B73" s="147">
        <v>0</v>
      </c>
      <c r="C73" s="147">
        <v>0</v>
      </c>
      <c r="D73" s="147">
        <v>0</v>
      </c>
      <c r="E73" s="147">
        <v>0</v>
      </c>
      <c r="F73" s="147">
        <v>0</v>
      </c>
      <c r="G73" s="147">
        <v>0</v>
      </c>
      <c r="H73" s="147">
        <v>0</v>
      </c>
      <c r="I73" s="147">
        <v>0</v>
      </c>
      <c r="J73" s="147">
        <v>0</v>
      </c>
      <c r="K73" s="147">
        <v>0</v>
      </c>
      <c r="L73" s="147">
        <v>0</v>
      </c>
      <c r="M73" s="147">
        <v>0</v>
      </c>
      <c r="N73" s="147">
        <v>0</v>
      </c>
      <c r="O73" s="147">
        <v>0</v>
      </c>
      <c r="P73" s="147">
        <v>0</v>
      </c>
      <c r="Q73" s="147">
        <v>0</v>
      </c>
      <c r="R73" s="147">
        <v>0</v>
      </c>
      <c r="S73" s="147">
        <v>0</v>
      </c>
      <c r="T73" s="147">
        <v>0</v>
      </c>
      <c r="U73" s="147">
        <v>0</v>
      </c>
      <c r="V73" s="147">
        <v>0</v>
      </c>
      <c r="W73" s="147">
        <v>0</v>
      </c>
      <c r="X73" s="147">
        <v>0</v>
      </c>
      <c r="Y73" s="147">
        <v>0</v>
      </c>
      <c r="Z73" s="147">
        <v>0</v>
      </c>
      <c r="AA73" s="147">
        <v>0</v>
      </c>
      <c r="AB73" s="147">
        <v>0</v>
      </c>
      <c r="AC73" s="147">
        <v>1</v>
      </c>
      <c r="AD73" s="147">
        <v>0</v>
      </c>
      <c r="AE73" s="147">
        <v>0</v>
      </c>
      <c r="AF73" s="147">
        <v>0</v>
      </c>
      <c r="AG73" s="63">
        <f t="shared" si="32"/>
        <v>1</v>
      </c>
      <c r="AH73" s="63"/>
      <c r="AI73" s="63">
        <f t="shared" si="33"/>
        <v>1</v>
      </c>
    </row>
    <row r="74" spans="1:35" ht="21">
      <c r="A74" s="55" t="s">
        <v>26</v>
      </c>
      <c r="B74" s="147">
        <v>1</v>
      </c>
      <c r="C74" s="147">
        <v>0</v>
      </c>
      <c r="D74" s="147">
        <v>0</v>
      </c>
      <c r="E74" s="147">
        <v>1</v>
      </c>
      <c r="F74" s="147">
        <v>0</v>
      </c>
      <c r="G74" s="147">
        <v>2</v>
      </c>
      <c r="H74" s="147">
        <v>2</v>
      </c>
      <c r="I74" s="147">
        <v>0</v>
      </c>
      <c r="J74" s="147">
        <v>3</v>
      </c>
      <c r="K74" s="147">
        <v>1</v>
      </c>
      <c r="L74" s="147">
        <v>1</v>
      </c>
      <c r="M74" s="147">
        <v>1</v>
      </c>
      <c r="N74" s="147">
        <v>2</v>
      </c>
      <c r="O74" s="147">
        <v>2</v>
      </c>
      <c r="P74" s="147">
        <v>1</v>
      </c>
      <c r="Q74" s="147">
        <v>2</v>
      </c>
      <c r="R74" s="147">
        <v>2</v>
      </c>
      <c r="S74" s="147">
        <v>0</v>
      </c>
      <c r="T74" s="147">
        <v>1</v>
      </c>
      <c r="U74" s="147">
        <v>3</v>
      </c>
      <c r="V74" s="147">
        <v>1</v>
      </c>
      <c r="W74" s="147">
        <v>2</v>
      </c>
      <c r="X74" s="147">
        <v>2</v>
      </c>
      <c r="Y74" s="147">
        <v>3</v>
      </c>
      <c r="Z74" s="147">
        <v>3</v>
      </c>
      <c r="AA74" s="147">
        <v>2</v>
      </c>
      <c r="AB74" s="147">
        <v>1</v>
      </c>
      <c r="AC74" s="147">
        <v>5</v>
      </c>
      <c r="AD74" s="147">
        <v>0</v>
      </c>
      <c r="AE74" s="147">
        <v>1</v>
      </c>
      <c r="AF74" s="147">
        <v>0</v>
      </c>
      <c r="AG74" s="63">
        <f t="shared" si="32"/>
        <v>45</v>
      </c>
      <c r="AH74" s="63"/>
      <c r="AI74" s="63">
        <f t="shared" si="33"/>
        <v>45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171"/>
      <c r="Y75" s="57"/>
      <c r="Z75" s="57"/>
      <c r="AA75" s="57"/>
      <c r="AB75" s="57"/>
      <c r="AC75" s="57"/>
      <c r="AD75" s="57"/>
      <c r="AE75" s="57"/>
      <c r="AF75" s="57"/>
      <c r="AG75" s="63">
        <f t="shared" si="32"/>
        <v>0</v>
      </c>
      <c r="AH75" s="70"/>
      <c r="AI75" s="63">
        <f t="shared" si="33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172"/>
      <c r="Y76" s="58"/>
      <c r="Z76" s="58"/>
      <c r="AA76" s="58"/>
      <c r="AB76" s="58"/>
      <c r="AC76" s="58"/>
      <c r="AD76" s="58"/>
      <c r="AE76" s="58"/>
      <c r="AF76" s="58"/>
      <c r="AG76" s="63">
        <f t="shared" si="32"/>
        <v>0</v>
      </c>
      <c r="AH76" s="71"/>
      <c r="AI76" s="63">
        <f t="shared" si="33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5"/>
      <c r="Y77" s="56"/>
      <c r="Z77" s="56"/>
      <c r="AA77" s="56"/>
      <c r="AB77" s="56"/>
      <c r="AC77" s="56"/>
      <c r="AD77" s="56"/>
      <c r="AE77" s="56"/>
      <c r="AF77" s="56"/>
      <c r="AG77" s="63">
        <f t="shared" si="32"/>
        <v>0</v>
      </c>
      <c r="AH77" s="63"/>
      <c r="AI77" s="63">
        <f t="shared" si="33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46082</v>
      </c>
      <c r="C79" s="54">
        <v>46083</v>
      </c>
      <c r="D79" s="54">
        <v>46084</v>
      </c>
      <c r="E79" s="54">
        <v>46085</v>
      </c>
      <c r="F79" s="54">
        <v>46086</v>
      </c>
      <c r="G79" s="54">
        <v>46087</v>
      </c>
      <c r="H79" s="54">
        <v>46088</v>
      </c>
      <c r="I79" s="54">
        <v>46089</v>
      </c>
      <c r="J79" s="54">
        <v>46090</v>
      </c>
      <c r="K79" s="54">
        <v>46091</v>
      </c>
      <c r="L79" s="54">
        <v>46092</v>
      </c>
      <c r="M79" s="54">
        <v>46093</v>
      </c>
      <c r="N79" s="54">
        <v>46094</v>
      </c>
      <c r="O79" s="54">
        <v>46095</v>
      </c>
      <c r="P79" s="54">
        <v>46096</v>
      </c>
      <c r="Q79" s="54">
        <v>46097</v>
      </c>
      <c r="R79" s="54">
        <v>46098</v>
      </c>
      <c r="S79" s="54">
        <v>46099</v>
      </c>
      <c r="T79" s="54">
        <v>46100</v>
      </c>
      <c r="U79" s="54">
        <v>46101</v>
      </c>
      <c r="V79" s="54">
        <v>46102</v>
      </c>
      <c r="W79" s="54">
        <v>46103</v>
      </c>
      <c r="X79" s="54">
        <v>46104</v>
      </c>
      <c r="Y79" s="54">
        <v>46105</v>
      </c>
      <c r="Z79" s="54">
        <v>46106</v>
      </c>
      <c r="AA79" s="54">
        <v>46107</v>
      </c>
      <c r="AB79" s="54">
        <v>46108</v>
      </c>
      <c r="AC79" s="54">
        <v>46109</v>
      </c>
      <c r="AD79" s="54">
        <v>46110</v>
      </c>
      <c r="AE79" s="54">
        <v>46111</v>
      </c>
      <c r="AF79" s="54">
        <v>46112</v>
      </c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>
        <v>45</v>
      </c>
      <c r="C80" s="56">
        <v>35</v>
      </c>
      <c r="D80" s="56">
        <v>39</v>
      </c>
      <c r="E80" s="56">
        <v>31</v>
      </c>
      <c r="F80" s="56">
        <v>28</v>
      </c>
      <c r="G80" s="56">
        <v>33</v>
      </c>
      <c r="H80" s="56">
        <v>97</v>
      </c>
      <c r="I80" s="56">
        <v>49</v>
      </c>
      <c r="J80" s="56">
        <v>36</v>
      </c>
      <c r="K80" s="56">
        <v>24</v>
      </c>
      <c r="L80" s="56">
        <v>34</v>
      </c>
      <c r="M80" s="56">
        <v>27</v>
      </c>
      <c r="N80" s="56">
        <v>36</v>
      </c>
      <c r="O80" s="56">
        <v>118</v>
      </c>
      <c r="P80" s="56">
        <v>53</v>
      </c>
      <c r="Q80" s="56">
        <v>22</v>
      </c>
      <c r="R80" s="56">
        <v>28</v>
      </c>
      <c r="S80" s="56">
        <v>29</v>
      </c>
      <c r="T80" s="56">
        <v>18</v>
      </c>
      <c r="U80" s="56">
        <v>38</v>
      </c>
      <c r="V80" s="56">
        <v>76</v>
      </c>
      <c r="W80" s="56">
        <v>37</v>
      </c>
      <c r="X80" s="55">
        <v>39</v>
      </c>
      <c r="Y80" s="56">
        <v>24</v>
      </c>
      <c r="Z80" s="56">
        <v>31</v>
      </c>
      <c r="AA80" s="56">
        <v>12</v>
      </c>
      <c r="AB80" s="56">
        <v>38</v>
      </c>
      <c r="AC80" s="56">
        <v>66</v>
      </c>
      <c r="AD80" s="56">
        <v>47</v>
      </c>
      <c r="AE80" s="56">
        <v>45</v>
      </c>
      <c r="AF80" s="56">
        <v>44</v>
      </c>
      <c r="AG80" s="63">
        <f>SUM(B80:AF80)</f>
        <v>1279</v>
      </c>
      <c r="AH80" s="63"/>
      <c r="AI80" s="63">
        <f>AG80</f>
        <v>1279</v>
      </c>
    </row>
    <row r="81" spans="1:67" ht="21">
      <c r="A81" s="55" t="s">
        <v>21</v>
      </c>
      <c r="B81" s="56">
        <v>29</v>
      </c>
      <c r="C81" s="56">
        <v>21</v>
      </c>
      <c r="D81" s="56">
        <v>18</v>
      </c>
      <c r="E81" s="56">
        <v>21</v>
      </c>
      <c r="F81" s="56">
        <v>14</v>
      </c>
      <c r="G81" s="56">
        <v>16</v>
      </c>
      <c r="H81" s="56">
        <v>45</v>
      </c>
      <c r="I81" s="56">
        <v>24</v>
      </c>
      <c r="J81" s="56">
        <v>22</v>
      </c>
      <c r="K81" s="56">
        <v>14</v>
      </c>
      <c r="L81" s="56">
        <v>20</v>
      </c>
      <c r="M81" s="56">
        <v>18</v>
      </c>
      <c r="N81" s="56">
        <v>18</v>
      </c>
      <c r="O81" s="56">
        <v>57</v>
      </c>
      <c r="P81" s="56">
        <v>15</v>
      </c>
      <c r="Q81" s="56">
        <v>12</v>
      </c>
      <c r="R81" s="56">
        <v>14</v>
      </c>
      <c r="S81" s="56">
        <v>9</v>
      </c>
      <c r="T81" s="56">
        <v>9</v>
      </c>
      <c r="U81" s="56">
        <v>21</v>
      </c>
      <c r="V81" s="56">
        <v>39</v>
      </c>
      <c r="W81" s="56">
        <v>21</v>
      </c>
      <c r="X81" s="55">
        <v>26</v>
      </c>
      <c r="Y81" s="56">
        <v>11</v>
      </c>
      <c r="Z81" s="56">
        <v>20</v>
      </c>
      <c r="AA81" s="56"/>
      <c r="AB81" s="56">
        <v>23</v>
      </c>
      <c r="AC81" s="56">
        <v>38</v>
      </c>
      <c r="AD81" s="56">
        <v>28</v>
      </c>
      <c r="AE81" s="56">
        <v>26</v>
      </c>
      <c r="AF81" s="56">
        <v>23</v>
      </c>
      <c r="AG81" s="63">
        <f t="shared" ref="AG81:AG88" si="34">SUM(B81:AF81)</f>
        <v>672</v>
      </c>
      <c r="AH81" s="63"/>
      <c r="AI81" s="63">
        <f>AG81+AH83+AH84+AH85</f>
        <v>672</v>
      </c>
    </row>
    <row r="82" spans="1:67" ht="21">
      <c r="A82" s="55" t="s">
        <v>22</v>
      </c>
      <c r="B82" s="147">
        <v>25</v>
      </c>
      <c r="C82" s="147">
        <v>15</v>
      </c>
      <c r="D82" s="147">
        <v>18</v>
      </c>
      <c r="E82" s="147">
        <v>20</v>
      </c>
      <c r="F82" s="147">
        <v>14</v>
      </c>
      <c r="G82" s="147">
        <v>14</v>
      </c>
      <c r="H82" s="147">
        <v>39</v>
      </c>
      <c r="I82" s="147">
        <v>20</v>
      </c>
      <c r="J82" s="147">
        <v>19</v>
      </c>
      <c r="K82" s="147">
        <v>12</v>
      </c>
      <c r="L82" s="147">
        <v>19</v>
      </c>
      <c r="M82" s="147">
        <v>12</v>
      </c>
      <c r="N82" s="147">
        <v>18</v>
      </c>
      <c r="O82" s="147">
        <v>51</v>
      </c>
      <c r="P82" s="147">
        <v>14</v>
      </c>
      <c r="Q82" s="147">
        <v>11</v>
      </c>
      <c r="R82" s="147">
        <v>12</v>
      </c>
      <c r="S82" s="147">
        <v>8</v>
      </c>
      <c r="T82" s="147">
        <v>9</v>
      </c>
      <c r="U82" s="147">
        <v>19</v>
      </c>
      <c r="V82" s="147">
        <v>35</v>
      </c>
      <c r="W82" s="147">
        <v>19</v>
      </c>
      <c r="X82" s="147">
        <v>20</v>
      </c>
      <c r="Y82" s="147">
        <v>9</v>
      </c>
      <c r="Z82" s="147">
        <v>16</v>
      </c>
      <c r="AA82" s="147"/>
      <c r="AB82" s="147">
        <v>18</v>
      </c>
      <c r="AC82" s="147">
        <v>33</v>
      </c>
      <c r="AD82" s="147">
        <v>23</v>
      </c>
      <c r="AE82" s="147">
        <v>22</v>
      </c>
      <c r="AF82" s="147">
        <v>21</v>
      </c>
      <c r="AG82" s="63">
        <f t="shared" si="34"/>
        <v>585</v>
      </c>
      <c r="AH82" s="63"/>
      <c r="AI82" s="63">
        <f>AG82+AH83+AH84+AH85</f>
        <v>585</v>
      </c>
    </row>
    <row r="83" spans="1:67" ht="21">
      <c r="A83" s="55" t="s">
        <v>23</v>
      </c>
      <c r="B83" s="147">
        <v>1</v>
      </c>
      <c r="C83" s="147">
        <v>1</v>
      </c>
      <c r="D83" s="147">
        <v>0</v>
      </c>
      <c r="E83" s="147">
        <v>0</v>
      </c>
      <c r="F83" s="147">
        <v>0</v>
      </c>
      <c r="G83" s="147">
        <v>1</v>
      </c>
      <c r="H83" s="147">
        <v>0</v>
      </c>
      <c r="I83" s="147">
        <v>2</v>
      </c>
      <c r="J83" s="147">
        <v>0</v>
      </c>
      <c r="K83" s="147">
        <v>1</v>
      </c>
      <c r="L83" s="147">
        <v>0</v>
      </c>
      <c r="M83" s="147">
        <v>2</v>
      </c>
      <c r="N83" s="147">
        <v>0</v>
      </c>
      <c r="O83" s="147">
        <v>1</v>
      </c>
      <c r="P83" s="147">
        <v>0</v>
      </c>
      <c r="Q83" s="147">
        <v>0</v>
      </c>
      <c r="R83" s="147">
        <v>0</v>
      </c>
      <c r="S83" s="147">
        <v>0</v>
      </c>
      <c r="T83" s="147">
        <v>0</v>
      </c>
      <c r="U83" s="147">
        <v>0</v>
      </c>
      <c r="V83" s="147">
        <v>0</v>
      </c>
      <c r="W83" s="147">
        <v>0</v>
      </c>
      <c r="X83" s="147">
        <v>0</v>
      </c>
      <c r="Y83" s="147">
        <v>0</v>
      </c>
      <c r="Z83" s="147">
        <v>1</v>
      </c>
      <c r="AA83" s="147"/>
      <c r="AB83" s="147">
        <v>1</v>
      </c>
      <c r="AC83" s="147">
        <v>0</v>
      </c>
      <c r="AD83" s="147">
        <v>0</v>
      </c>
      <c r="AE83" s="147">
        <v>1</v>
      </c>
      <c r="AF83" s="147">
        <v>1</v>
      </c>
      <c r="AG83" s="63">
        <f t="shared" si="34"/>
        <v>13</v>
      </c>
      <c r="AH83" s="63"/>
      <c r="AI83" s="63">
        <f t="shared" ref="AI83:AI88" si="35">AG83-AH83</f>
        <v>13</v>
      </c>
    </row>
    <row r="84" spans="1:67" ht="21">
      <c r="A84" s="55" t="s">
        <v>24</v>
      </c>
      <c r="B84" s="147">
        <v>0</v>
      </c>
      <c r="C84" s="147">
        <v>0</v>
      </c>
      <c r="D84" s="147">
        <v>0</v>
      </c>
      <c r="E84" s="147">
        <v>0</v>
      </c>
      <c r="F84" s="147">
        <v>0</v>
      </c>
      <c r="G84" s="147">
        <v>0</v>
      </c>
      <c r="H84" s="147">
        <v>0</v>
      </c>
      <c r="I84" s="147">
        <v>0</v>
      </c>
      <c r="J84" s="147">
        <v>0</v>
      </c>
      <c r="K84" s="147">
        <v>0</v>
      </c>
      <c r="L84" s="147">
        <v>0</v>
      </c>
      <c r="M84" s="147">
        <v>0</v>
      </c>
      <c r="N84" s="147">
        <v>0</v>
      </c>
      <c r="O84" s="147">
        <v>0</v>
      </c>
      <c r="P84" s="147">
        <v>0</v>
      </c>
      <c r="Q84" s="147">
        <v>0</v>
      </c>
      <c r="R84" s="147">
        <v>0</v>
      </c>
      <c r="S84" s="147">
        <v>0</v>
      </c>
      <c r="T84" s="147">
        <v>0</v>
      </c>
      <c r="U84" s="147">
        <v>0</v>
      </c>
      <c r="V84" s="147">
        <v>0</v>
      </c>
      <c r="W84" s="147">
        <v>0</v>
      </c>
      <c r="X84" s="147">
        <v>1</v>
      </c>
      <c r="Y84" s="147">
        <v>0</v>
      </c>
      <c r="Z84" s="147">
        <v>0</v>
      </c>
      <c r="AA84" s="147"/>
      <c r="AB84" s="147">
        <v>0</v>
      </c>
      <c r="AC84" s="147">
        <v>0</v>
      </c>
      <c r="AD84" s="147">
        <v>1</v>
      </c>
      <c r="AE84" s="147">
        <v>0</v>
      </c>
      <c r="AF84" s="147">
        <v>0</v>
      </c>
      <c r="AG84" s="63">
        <f t="shared" si="34"/>
        <v>2</v>
      </c>
      <c r="AH84" s="63"/>
      <c r="AI84" s="63">
        <f t="shared" si="35"/>
        <v>2</v>
      </c>
    </row>
    <row r="85" spans="1:67" ht="21">
      <c r="A85" s="55" t="s">
        <v>26</v>
      </c>
      <c r="B85" s="147">
        <v>3</v>
      </c>
      <c r="C85" s="147">
        <v>5</v>
      </c>
      <c r="D85" s="147">
        <v>0</v>
      </c>
      <c r="E85" s="147">
        <v>1</v>
      </c>
      <c r="F85" s="147">
        <v>0</v>
      </c>
      <c r="G85" s="147">
        <v>1</v>
      </c>
      <c r="H85" s="147">
        <v>6</v>
      </c>
      <c r="I85" s="147">
        <v>2</v>
      </c>
      <c r="J85" s="147">
        <v>3</v>
      </c>
      <c r="K85" s="147">
        <v>1</v>
      </c>
      <c r="L85" s="147">
        <v>1</v>
      </c>
      <c r="M85" s="147">
        <v>4</v>
      </c>
      <c r="N85" s="147">
        <v>0</v>
      </c>
      <c r="O85" s="147">
        <v>5</v>
      </c>
      <c r="P85" s="147">
        <v>1</v>
      </c>
      <c r="Q85" s="147">
        <v>1</v>
      </c>
      <c r="R85" s="147">
        <v>2</v>
      </c>
      <c r="S85" s="147">
        <v>1</v>
      </c>
      <c r="T85" s="147">
        <v>0</v>
      </c>
      <c r="U85" s="147">
        <v>2</v>
      </c>
      <c r="V85" s="147">
        <v>4</v>
      </c>
      <c r="W85" s="147">
        <v>2</v>
      </c>
      <c r="X85" s="147">
        <v>5</v>
      </c>
      <c r="Y85" s="147">
        <v>2</v>
      </c>
      <c r="Z85" s="147">
        <v>3</v>
      </c>
      <c r="AA85" s="147"/>
      <c r="AB85" s="147">
        <v>4</v>
      </c>
      <c r="AC85" s="147">
        <v>5</v>
      </c>
      <c r="AD85" s="147">
        <v>4</v>
      </c>
      <c r="AE85" s="147">
        <v>3</v>
      </c>
      <c r="AF85" s="147">
        <v>1</v>
      </c>
      <c r="AG85" s="63">
        <f t="shared" si="34"/>
        <v>72</v>
      </c>
      <c r="AH85" s="63"/>
      <c r="AI85" s="63">
        <f t="shared" si="35"/>
        <v>72</v>
      </c>
    </row>
    <row r="86" spans="1:67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171"/>
      <c r="Y86" s="57"/>
      <c r="Z86" s="57"/>
      <c r="AA86" s="57"/>
      <c r="AB86" s="57"/>
      <c r="AC86" s="57"/>
      <c r="AD86" s="57"/>
      <c r="AE86" s="57"/>
      <c r="AF86" s="57"/>
      <c r="AG86" s="63">
        <f t="shared" si="34"/>
        <v>0</v>
      </c>
      <c r="AH86" s="70"/>
      <c r="AI86" s="63">
        <f t="shared" si="35"/>
        <v>0</v>
      </c>
    </row>
    <row r="87" spans="1:67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172"/>
      <c r="Y87" s="58"/>
      <c r="Z87" s="58"/>
      <c r="AA87" s="58"/>
      <c r="AB87" s="58"/>
      <c r="AC87" s="58"/>
      <c r="AD87" s="58"/>
      <c r="AE87" s="58"/>
      <c r="AF87" s="58"/>
      <c r="AG87" s="63">
        <f t="shared" si="34"/>
        <v>0</v>
      </c>
      <c r="AH87" s="71"/>
      <c r="AI87" s="63">
        <f t="shared" si="35"/>
        <v>0</v>
      </c>
    </row>
    <row r="88" spans="1:67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5"/>
      <c r="Y88" s="56"/>
      <c r="Z88" s="56"/>
      <c r="AA88" s="56"/>
      <c r="AB88" s="56"/>
      <c r="AC88" s="56"/>
      <c r="AD88" s="56"/>
      <c r="AE88" s="56"/>
      <c r="AF88" s="56"/>
      <c r="AG88" s="63">
        <f t="shared" si="34"/>
        <v>0</v>
      </c>
      <c r="AH88" s="63"/>
      <c r="AI88" s="63">
        <f t="shared" si="35"/>
        <v>0</v>
      </c>
    </row>
    <row r="89" spans="1:67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BD89" s="3"/>
      <c r="BE89" s="41"/>
      <c r="BF89" s="41"/>
      <c r="BI89" s="3"/>
      <c r="BJ89" s="3"/>
      <c r="BK89" s="3"/>
      <c r="BL89" s="3"/>
      <c r="BM89" s="3"/>
      <c r="BN89" s="3"/>
      <c r="BO89" s="3"/>
    </row>
    <row r="90" spans="1:67" ht="21">
      <c r="A90" s="53"/>
      <c r="B90" s="54">
        <v>46082</v>
      </c>
      <c r="C90" s="54">
        <v>46083</v>
      </c>
      <c r="D90" s="54">
        <v>46084</v>
      </c>
      <c r="E90" s="54">
        <v>46085</v>
      </c>
      <c r="F90" s="54">
        <v>46086</v>
      </c>
      <c r="G90" s="54">
        <v>46087</v>
      </c>
      <c r="H90" s="54">
        <v>46088</v>
      </c>
      <c r="I90" s="54">
        <v>46089</v>
      </c>
      <c r="J90" s="54">
        <v>46090</v>
      </c>
      <c r="K90" s="54">
        <v>46091</v>
      </c>
      <c r="L90" s="54">
        <v>46092</v>
      </c>
      <c r="M90" s="54">
        <v>46093</v>
      </c>
      <c r="N90" s="54">
        <v>46094</v>
      </c>
      <c r="O90" s="54">
        <v>46095</v>
      </c>
      <c r="P90" s="54">
        <v>46096</v>
      </c>
      <c r="Q90" s="54">
        <v>46097</v>
      </c>
      <c r="R90" s="54">
        <v>46098</v>
      </c>
      <c r="S90" s="54">
        <v>46099</v>
      </c>
      <c r="T90" s="54">
        <v>46100</v>
      </c>
      <c r="U90" s="54">
        <v>46101</v>
      </c>
      <c r="V90" s="54">
        <v>46102</v>
      </c>
      <c r="W90" s="54">
        <v>46103</v>
      </c>
      <c r="X90" s="54">
        <v>46104</v>
      </c>
      <c r="Y90" s="54">
        <v>46105</v>
      </c>
      <c r="Z90" s="54">
        <v>46106</v>
      </c>
      <c r="AA90" s="54">
        <v>46107</v>
      </c>
      <c r="AB90" s="54">
        <v>46108</v>
      </c>
      <c r="AC90" s="54">
        <v>46109</v>
      </c>
      <c r="AD90" s="54">
        <v>46110</v>
      </c>
      <c r="AE90" s="54">
        <v>46111</v>
      </c>
      <c r="AF90" s="54">
        <v>46112</v>
      </c>
      <c r="AG90" s="61" t="s">
        <v>2</v>
      </c>
      <c r="AH90" s="61" t="s">
        <v>3</v>
      </c>
      <c r="AI90" s="62" t="s">
        <v>59</v>
      </c>
    </row>
    <row r="91" spans="1:67" ht="21">
      <c r="A91" s="55" t="s">
        <v>56</v>
      </c>
      <c r="B91" s="56">
        <v>66</v>
      </c>
      <c r="C91" s="56">
        <v>46</v>
      </c>
      <c r="D91" s="56">
        <v>43</v>
      </c>
      <c r="E91" s="56">
        <v>28</v>
      </c>
      <c r="F91" s="56">
        <v>25</v>
      </c>
      <c r="G91" s="56">
        <v>49</v>
      </c>
      <c r="H91" s="56">
        <v>59</v>
      </c>
      <c r="I91" s="56">
        <v>41</v>
      </c>
      <c r="J91" s="56">
        <v>31</v>
      </c>
      <c r="K91" s="56">
        <v>18</v>
      </c>
      <c r="L91" s="56">
        <v>23</v>
      </c>
      <c r="M91" s="56">
        <v>29</v>
      </c>
      <c r="N91" s="56">
        <v>34</v>
      </c>
      <c r="O91" s="56">
        <v>46</v>
      </c>
      <c r="P91" s="56">
        <v>37</v>
      </c>
      <c r="Q91" s="56">
        <v>35</v>
      </c>
      <c r="R91" s="56">
        <v>34</v>
      </c>
      <c r="S91" s="56">
        <v>34</v>
      </c>
      <c r="T91" s="56">
        <v>29</v>
      </c>
      <c r="U91" s="56">
        <v>54</v>
      </c>
      <c r="V91" s="56">
        <v>55</v>
      </c>
      <c r="W91" s="56">
        <v>32</v>
      </c>
      <c r="X91" s="55">
        <v>33</v>
      </c>
      <c r="Y91" s="56">
        <v>33</v>
      </c>
      <c r="Z91" s="56">
        <v>28</v>
      </c>
      <c r="AA91" s="56">
        <v>39</v>
      </c>
      <c r="AB91" s="56">
        <v>55</v>
      </c>
      <c r="AC91" s="56">
        <v>50</v>
      </c>
      <c r="AD91" s="56">
        <v>35</v>
      </c>
      <c r="AE91" s="56">
        <v>24</v>
      </c>
      <c r="AF91" s="56">
        <v>32</v>
      </c>
      <c r="AG91" s="63">
        <f>SUM(B91:AF91)</f>
        <v>1177</v>
      </c>
      <c r="AH91" s="63"/>
      <c r="AI91" s="63">
        <f>AG91</f>
        <v>1177</v>
      </c>
    </row>
    <row r="92" spans="1:67" ht="21">
      <c r="A92" s="55" t="s">
        <v>21</v>
      </c>
      <c r="B92" s="56">
        <v>36</v>
      </c>
      <c r="C92" s="56">
        <v>28</v>
      </c>
      <c r="D92" s="56">
        <v>25</v>
      </c>
      <c r="E92" s="56">
        <v>19</v>
      </c>
      <c r="F92" s="56">
        <v>14</v>
      </c>
      <c r="G92" s="56">
        <v>26</v>
      </c>
      <c r="H92" s="56">
        <v>40</v>
      </c>
      <c r="I92" s="56">
        <v>17</v>
      </c>
      <c r="J92" s="56">
        <v>18</v>
      </c>
      <c r="K92" s="56">
        <v>10</v>
      </c>
      <c r="L92" s="56">
        <v>14</v>
      </c>
      <c r="M92" s="56">
        <v>16</v>
      </c>
      <c r="N92" s="56">
        <v>24</v>
      </c>
      <c r="O92" s="56">
        <v>32</v>
      </c>
      <c r="P92" s="56">
        <v>26</v>
      </c>
      <c r="Q92" s="56">
        <v>18</v>
      </c>
      <c r="R92" s="56">
        <v>17</v>
      </c>
      <c r="S92" s="56">
        <v>19</v>
      </c>
      <c r="T92" s="56">
        <v>14</v>
      </c>
      <c r="U92" s="56">
        <v>25</v>
      </c>
      <c r="V92" s="56">
        <v>31</v>
      </c>
      <c r="W92" s="56">
        <v>19</v>
      </c>
      <c r="X92" s="55">
        <v>19</v>
      </c>
      <c r="Y92" s="56">
        <v>15</v>
      </c>
      <c r="Z92" s="56">
        <v>11</v>
      </c>
      <c r="AA92" s="56">
        <v>22</v>
      </c>
      <c r="AB92" s="56">
        <v>23</v>
      </c>
      <c r="AC92" s="56">
        <v>32</v>
      </c>
      <c r="AD92" s="56">
        <v>16</v>
      </c>
      <c r="AE92" s="56">
        <v>13</v>
      </c>
      <c r="AF92" s="56">
        <v>17</v>
      </c>
      <c r="AG92" s="63">
        <f t="shared" ref="AG92:AG99" si="36">SUM(B92:AF92)</f>
        <v>656</v>
      </c>
      <c r="AH92" s="63"/>
      <c r="AI92" s="63">
        <f>AG92+AH94+AH95+AH96</f>
        <v>656</v>
      </c>
    </row>
    <row r="93" spans="1:67" ht="21">
      <c r="A93" s="55" t="s">
        <v>22</v>
      </c>
      <c r="B93" s="147">
        <v>30</v>
      </c>
      <c r="C93" s="147">
        <v>27</v>
      </c>
      <c r="D93" s="147">
        <v>23</v>
      </c>
      <c r="E93" s="147">
        <v>19</v>
      </c>
      <c r="F93" s="147">
        <v>13</v>
      </c>
      <c r="G93" s="147">
        <v>26</v>
      </c>
      <c r="H93" s="147">
        <v>40</v>
      </c>
      <c r="I93" s="147">
        <v>13</v>
      </c>
      <c r="J93" s="147">
        <v>18</v>
      </c>
      <c r="K93" s="147">
        <v>10</v>
      </c>
      <c r="L93" s="147">
        <v>14</v>
      </c>
      <c r="M93" s="147">
        <v>15</v>
      </c>
      <c r="N93" s="147">
        <v>24</v>
      </c>
      <c r="O93" s="147">
        <v>32</v>
      </c>
      <c r="P93" s="147">
        <v>26</v>
      </c>
      <c r="Q93" s="147">
        <v>18</v>
      </c>
      <c r="R93" s="147">
        <v>16</v>
      </c>
      <c r="S93" s="147">
        <v>19</v>
      </c>
      <c r="T93" s="147">
        <v>14</v>
      </c>
      <c r="U93" s="147">
        <v>25</v>
      </c>
      <c r="V93" s="147">
        <v>31</v>
      </c>
      <c r="W93" s="147">
        <v>19</v>
      </c>
      <c r="X93" s="147">
        <v>19</v>
      </c>
      <c r="Y93" s="147">
        <v>15</v>
      </c>
      <c r="Z93" s="147">
        <v>11</v>
      </c>
      <c r="AA93" s="147">
        <v>22</v>
      </c>
      <c r="AB93" s="147">
        <v>22</v>
      </c>
      <c r="AC93" s="147">
        <v>32</v>
      </c>
      <c r="AD93" s="147">
        <v>16</v>
      </c>
      <c r="AE93" s="147">
        <v>12</v>
      </c>
      <c r="AF93" s="147">
        <v>16</v>
      </c>
      <c r="AG93" s="63">
        <f t="shared" si="36"/>
        <v>637</v>
      </c>
      <c r="AH93" s="63"/>
      <c r="AI93" s="63">
        <f>AG93+AH94+AH95+AH96</f>
        <v>637</v>
      </c>
    </row>
    <row r="94" spans="1:67" ht="21">
      <c r="A94" s="55" t="s">
        <v>23</v>
      </c>
      <c r="B94" s="147">
        <v>0</v>
      </c>
      <c r="C94" s="147">
        <v>0</v>
      </c>
      <c r="D94" s="147">
        <v>0</v>
      </c>
      <c r="E94" s="147">
        <v>0</v>
      </c>
      <c r="F94" s="147">
        <v>0</v>
      </c>
      <c r="G94" s="147">
        <v>0</v>
      </c>
      <c r="H94" s="147">
        <v>0</v>
      </c>
      <c r="I94" s="147">
        <v>0</v>
      </c>
      <c r="J94" s="147">
        <v>0</v>
      </c>
      <c r="K94" s="147">
        <v>0</v>
      </c>
      <c r="L94" s="147">
        <v>0</v>
      </c>
      <c r="M94" s="147">
        <v>0</v>
      </c>
      <c r="N94" s="147">
        <v>0</v>
      </c>
      <c r="O94" s="147">
        <v>0</v>
      </c>
      <c r="P94" s="147">
        <v>0</v>
      </c>
      <c r="Q94" s="147">
        <v>0</v>
      </c>
      <c r="R94" s="147">
        <v>0</v>
      </c>
      <c r="S94" s="147">
        <v>0</v>
      </c>
      <c r="T94" s="147">
        <v>0</v>
      </c>
      <c r="U94" s="147">
        <v>0</v>
      </c>
      <c r="V94" s="147">
        <v>0</v>
      </c>
      <c r="W94" s="147">
        <v>0</v>
      </c>
      <c r="X94" s="147">
        <v>0</v>
      </c>
      <c r="Y94" s="147">
        <v>0</v>
      </c>
      <c r="Z94" s="147">
        <v>0</v>
      </c>
      <c r="AA94" s="147">
        <v>0</v>
      </c>
      <c r="AB94" s="147">
        <v>0</v>
      </c>
      <c r="AC94" s="147">
        <v>0</v>
      </c>
      <c r="AD94" s="147">
        <v>0</v>
      </c>
      <c r="AE94" s="147">
        <v>0</v>
      </c>
      <c r="AF94" s="147">
        <v>1</v>
      </c>
      <c r="AG94" s="63">
        <f t="shared" si="36"/>
        <v>1</v>
      </c>
      <c r="AH94" s="63"/>
      <c r="AI94" s="63">
        <f t="shared" ref="AI94:AI99" si="37">AG94-AH94</f>
        <v>1</v>
      </c>
    </row>
    <row r="95" spans="1:67" ht="21">
      <c r="A95" s="55" t="s">
        <v>24</v>
      </c>
      <c r="B95" s="147">
        <v>0</v>
      </c>
      <c r="C95" s="147">
        <v>0</v>
      </c>
      <c r="D95" s="147">
        <v>0</v>
      </c>
      <c r="E95" s="147">
        <v>0</v>
      </c>
      <c r="F95" s="147">
        <v>0</v>
      </c>
      <c r="G95" s="147">
        <v>0</v>
      </c>
      <c r="H95" s="147">
        <v>0</v>
      </c>
      <c r="I95" s="147">
        <v>0</v>
      </c>
      <c r="J95" s="147">
        <v>0</v>
      </c>
      <c r="K95" s="147">
        <v>0</v>
      </c>
      <c r="L95" s="147">
        <v>0</v>
      </c>
      <c r="M95" s="147">
        <v>0</v>
      </c>
      <c r="N95" s="147">
        <v>0</v>
      </c>
      <c r="O95" s="147">
        <v>0</v>
      </c>
      <c r="P95" s="147">
        <v>0</v>
      </c>
      <c r="Q95" s="147">
        <v>0</v>
      </c>
      <c r="R95" s="147">
        <v>0</v>
      </c>
      <c r="S95" s="147">
        <v>0</v>
      </c>
      <c r="T95" s="147">
        <v>0</v>
      </c>
      <c r="U95" s="147">
        <v>0</v>
      </c>
      <c r="V95" s="147">
        <v>0</v>
      </c>
      <c r="W95" s="147">
        <v>0</v>
      </c>
      <c r="X95" s="147">
        <v>0</v>
      </c>
      <c r="Y95" s="147">
        <v>0</v>
      </c>
      <c r="Z95" s="147">
        <v>0</v>
      </c>
      <c r="AA95" s="147">
        <v>0</v>
      </c>
      <c r="AB95" s="147">
        <v>0</v>
      </c>
      <c r="AC95" s="147">
        <v>0</v>
      </c>
      <c r="AD95" s="147">
        <v>0</v>
      </c>
      <c r="AE95" s="147">
        <v>0</v>
      </c>
      <c r="AF95" s="147">
        <v>0</v>
      </c>
      <c r="AG95" s="63">
        <f t="shared" si="36"/>
        <v>0</v>
      </c>
      <c r="AH95" s="63"/>
      <c r="AI95" s="63">
        <f t="shared" si="37"/>
        <v>0</v>
      </c>
    </row>
    <row r="96" spans="1:67" ht="21">
      <c r="A96" s="55" t="s">
        <v>26</v>
      </c>
      <c r="B96" s="147">
        <v>6</v>
      </c>
      <c r="C96" s="147">
        <v>1</v>
      </c>
      <c r="D96" s="147">
        <v>2</v>
      </c>
      <c r="E96" s="147">
        <v>0</v>
      </c>
      <c r="F96" s="147">
        <v>1</v>
      </c>
      <c r="G96" s="147">
        <v>0</v>
      </c>
      <c r="H96" s="147">
        <v>0</v>
      </c>
      <c r="I96" s="147">
        <v>4</v>
      </c>
      <c r="J96" s="147">
        <v>0</v>
      </c>
      <c r="K96" s="147">
        <v>0</v>
      </c>
      <c r="L96" s="147">
        <v>0</v>
      </c>
      <c r="M96" s="147">
        <v>1</v>
      </c>
      <c r="N96" s="147">
        <v>0</v>
      </c>
      <c r="O96" s="147">
        <v>0</v>
      </c>
      <c r="P96" s="147">
        <v>0</v>
      </c>
      <c r="Q96" s="147">
        <v>0</v>
      </c>
      <c r="R96" s="147">
        <v>1</v>
      </c>
      <c r="S96" s="147">
        <v>0</v>
      </c>
      <c r="T96" s="147">
        <v>0</v>
      </c>
      <c r="U96" s="147">
        <v>0</v>
      </c>
      <c r="V96" s="147">
        <v>0</v>
      </c>
      <c r="W96" s="147">
        <v>0</v>
      </c>
      <c r="X96" s="147">
        <v>0</v>
      </c>
      <c r="Y96" s="147">
        <v>0</v>
      </c>
      <c r="Z96" s="147">
        <v>0</v>
      </c>
      <c r="AA96" s="147">
        <v>0</v>
      </c>
      <c r="AB96" s="147">
        <v>1</v>
      </c>
      <c r="AC96" s="147">
        <v>0</v>
      </c>
      <c r="AD96" s="147">
        <v>0</v>
      </c>
      <c r="AE96" s="147">
        <v>1</v>
      </c>
      <c r="AF96" s="147">
        <v>0</v>
      </c>
      <c r="AG96" s="63">
        <f t="shared" si="36"/>
        <v>18</v>
      </c>
      <c r="AH96" s="63"/>
      <c r="AI96" s="63">
        <f t="shared" si="37"/>
        <v>18</v>
      </c>
    </row>
    <row r="97" spans="1:75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171"/>
      <c r="Y97" s="57"/>
      <c r="Z97" s="57"/>
      <c r="AA97" s="57"/>
      <c r="AB97" s="57"/>
      <c r="AC97" s="57"/>
      <c r="AD97" s="57"/>
      <c r="AE97" s="57"/>
      <c r="AF97" s="57"/>
      <c r="AG97" s="63">
        <f t="shared" si="36"/>
        <v>0</v>
      </c>
      <c r="AH97" s="70"/>
      <c r="AI97" s="63">
        <f t="shared" si="37"/>
        <v>0</v>
      </c>
    </row>
    <row r="98" spans="1:75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172"/>
      <c r="Y98" s="58"/>
      <c r="Z98" s="58"/>
      <c r="AA98" s="58"/>
      <c r="AB98" s="58"/>
      <c r="AC98" s="58"/>
      <c r="AD98" s="58"/>
      <c r="AE98" s="58"/>
      <c r="AF98" s="58"/>
      <c r="AG98" s="63">
        <f t="shared" si="36"/>
        <v>0</v>
      </c>
      <c r="AH98" s="71"/>
      <c r="AI98" s="63">
        <f t="shared" si="37"/>
        <v>0</v>
      </c>
    </row>
    <row r="99" spans="1:75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5"/>
      <c r="Y99" s="56"/>
      <c r="Z99" s="56"/>
      <c r="AA99" s="56"/>
      <c r="AB99" s="56"/>
      <c r="AC99" s="56"/>
      <c r="AD99" s="56"/>
      <c r="AE99" s="56"/>
      <c r="AF99" s="56"/>
      <c r="AG99" s="63">
        <f t="shared" si="36"/>
        <v>0</v>
      </c>
      <c r="AH99" s="63"/>
      <c r="AI99" s="63">
        <f t="shared" si="37"/>
        <v>0</v>
      </c>
    </row>
    <row r="100" spans="1:75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BD100" s="3"/>
      <c r="BE100" s="41"/>
      <c r="BF100" s="41"/>
      <c r="BI100" s="3"/>
      <c r="BJ100" s="3"/>
      <c r="BK100" s="3"/>
      <c r="BL100" s="3"/>
      <c r="BM100" s="3"/>
      <c r="BN100" s="3"/>
      <c r="BO100" s="3"/>
    </row>
    <row r="101" spans="1:75" ht="21">
      <c r="A101" s="53"/>
      <c r="B101" s="54">
        <v>46082</v>
      </c>
      <c r="C101" s="54">
        <v>46083</v>
      </c>
      <c r="D101" s="54">
        <v>46084</v>
      </c>
      <c r="E101" s="54">
        <v>46085</v>
      </c>
      <c r="F101" s="54">
        <v>46086</v>
      </c>
      <c r="G101" s="54">
        <v>46087</v>
      </c>
      <c r="H101" s="54">
        <v>46088</v>
      </c>
      <c r="I101" s="54">
        <v>46089</v>
      </c>
      <c r="J101" s="54">
        <v>46090</v>
      </c>
      <c r="K101" s="54">
        <v>46091</v>
      </c>
      <c r="L101" s="54">
        <v>46092</v>
      </c>
      <c r="M101" s="54">
        <v>46093</v>
      </c>
      <c r="N101" s="54">
        <v>46094</v>
      </c>
      <c r="O101" s="54">
        <v>46095</v>
      </c>
      <c r="P101" s="54">
        <v>46096</v>
      </c>
      <c r="Q101" s="54">
        <v>46097</v>
      </c>
      <c r="R101" s="54">
        <v>46098</v>
      </c>
      <c r="S101" s="54">
        <v>46099</v>
      </c>
      <c r="T101" s="54">
        <v>46100</v>
      </c>
      <c r="U101" s="54">
        <v>46101</v>
      </c>
      <c r="V101" s="54">
        <v>46102</v>
      </c>
      <c r="W101" s="54">
        <v>46103</v>
      </c>
      <c r="X101" s="54">
        <v>46104</v>
      </c>
      <c r="Y101" s="54">
        <v>45650</v>
      </c>
      <c r="Z101" s="54">
        <v>45651</v>
      </c>
      <c r="AA101" s="54">
        <v>45652</v>
      </c>
      <c r="AB101" s="54">
        <v>45653</v>
      </c>
      <c r="AC101" s="54">
        <v>45654</v>
      </c>
      <c r="AD101" s="54">
        <v>45655</v>
      </c>
      <c r="AE101" s="54">
        <v>45656</v>
      </c>
      <c r="AF101" s="54">
        <v>45657</v>
      </c>
      <c r="AG101" s="61" t="s">
        <v>2</v>
      </c>
      <c r="AH101" s="61" t="s">
        <v>3</v>
      </c>
      <c r="AI101" s="62" t="s">
        <v>61</v>
      </c>
    </row>
    <row r="102" spans="1:75" ht="21">
      <c r="A102" s="55" t="s">
        <v>56</v>
      </c>
      <c r="B102" s="56">
        <v>0</v>
      </c>
      <c r="C102" s="56">
        <v>41</v>
      </c>
      <c r="D102" s="56">
        <v>56</v>
      </c>
      <c r="E102" s="56">
        <v>37</v>
      </c>
      <c r="F102" s="56">
        <v>29</v>
      </c>
      <c r="G102" s="56">
        <v>43</v>
      </c>
      <c r="H102" s="56">
        <v>91</v>
      </c>
      <c r="I102" s="56">
        <v>0</v>
      </c>
      <c r="J102" s="56">
        <v>24</v>
      </c>
      <c r="K102" s="56">
        <v>22</v>
      </c>
      <c r="L102" s="56">
        <v>19</v>
      </c>
      <c r="M102" s="56">
        <v>30</v>
      </c>
      <c r="N102" s="56">
        <v>59</v>
      </c>
      <c r="O102" s="56">
        <v>68</v>
      </c>
      <c r="P102" s="56">
        <v>0</v>
      </c>
      <c r="Q102" s="56">
        <v>40</v>
      </c>
      <c r="R102" s="56">
        <v>33</v>
      </c>
      <c r="S102" s="56">
        <v>30</v>
      </c>
      <c r="T102" s="56">
        <v>46</v>
      </c>
      <c r="U102" s="56">
        <v>56</v>
      </c>
      <c r="V102" s="56">
        <v>60</v>
      </c>
      <c r="W102" s="56">
        <v>0</v>
      </c>
      <c r="X102" s="55">
        <v>20</v>
      </c>
      <c r="Y102" s="56">
        <v>29</v>
      </c>
      <c r="Z102" s="56">
        <v>26</v>
      </c>
      <c r="AA102" s="56">
        <v>27</v>
      </c>
      <c r="AB102" s="56">
        <v>57</v>
      </c>
      <c r="AC102" s="56">
        <v>71</v>
      </c>
      <c r="AD102" s="56">
        <v>0</v>
      </c>
      <c r="AE102" s="56">
        <v>30</v>
      </c>
      <c r="AF102" s="56">
        <v>41</v>
      </c>
      <c r="AG102" s="63">
        <f>SUM(B102:AF102)</f>
        <v>1085</v>
      </c>
      <c r="AH102" s="63"/>
      <c r="AI102" s="63">
        <f>AG102</f>
        <v>1085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2"/>
      <c r="BV102" s="122"/>
      <c r="BW102" s="123"/>
    </row>
    <row r="103" spans="1:75" ht="21">
      <c r="A103" s="55" t="s">
        <v>21</v>
      </c>
      <c r="B103" s="56">
        <v>0</v>
      </c>
      <c r="C103" s="56">
        <v>26</v>
      </c>
      <c r="D103" s="56">
        <v>26</v>
      </c>
      <c r="E103" s="56">
        <v>17</v>
      </c>
      <c r="F103" s="56">
        <v>19</v>
      </c>
      <c r="G103" s="56">
        <v>28</v>
      </c>
      <c r="H103" s="56">
        <v>57</v>
      </c>
      <c r="I103" s="56">
        <v>0</v>
      </c>
      <c r="J103" s="56">
        <v>15</v>
      </c>
      <c r="K103" s="56">
        <v>12</v>
      </c>
      <c r="L103" s="56">
        <v>9</v>
      </c>
      <c r="M103" s="56">
        <v>18</v>
      </c>
      <c r="N103" s="56">
        <v>25</v>
      </c>
      <c r="O103" s="56">
        <v>40</v>
      </c>
      <c r="P103" s="56">
        <v>0</v>
      </c>
      <c r="Q103" s="56">
        <v>12</v>
      </c>
      <c r="R103" s="56">
        <v>11</v>
      </c>
      <c r="S103" s="56">
        <v>14</v>
      </c>
      <c r="T103" s="56">
        <v>20</v>
      </c>
      <c r="U103" s="56">
        <v>24</v>
      </c>
      <c r="V103" s="56">
        <v>31</v>
      </c>
      <c r="W103" s="56">
        <v>0</v>
      </c>
      <c r="X103" s="55">
        <v>6</v>
      </c>
      <c r="Y103" s="56">
        <v>13</v>
      </c>
      <c r="Z103" s="56">
        <v>15</v>
      </c>
      <c r="AA103" s="56">
        <v>13</v>
      </c>
      <c r="AB103" s="56">
        <v>23</v>
      </c>
      <c r="AC103" s="56">
        <v>37</v>
      </c>
      <c r="AD103" s="56">
        <v>0</v>
      </c>
      <c r="AE103" s="56">
        <v>12</v>
      </c>
      <c r="AF103" s="56">
        <v>21</v>
      </c>
      <c r="AG103" s="63">
        <f t="shared" ref="AG103:AG110" si="38">SUM(B103:AF103)</f>
        <v>544</v>
      </c>
      <c r="AH103" s="63"/>
      <c r="AI103" s="63">
        <f>AG103+AH105+AH106+AH107</f>
        <v>544</v>
      </c>
      <c r="BE103"/>
      <c r="BF103"/>
      <c r="BG103"/>
      <c r="BH103"/>
    </row>
    <row r="104" spans="1:75" ht="21">
      <c r="A104" s="55" t="s">
        <v>22</v>
      </c>
      <c r="B104" s="147">
        <v>0</v>
      </c>
      <c r="C104" s="147">
        <v>24</v>
      </c>
      <c r="D104" s="147">
        <v>23</v>
      </c>
      <c r="E104" s="147">
        <v>17</v>
      </c>
      <c r="F104" s="147">
        <v>19</v>
      </c>
      <c r="G104" s="147">
        <v>28</v>
      </c>
      <c r="H104" s="147">
        <v>56</v>
      </c>
      <c r="I104" s="147">
        <v>0</v>
      </c>
      <c r="J104" s="147">
        <v>15</v>
      </c>
      <c r="K104" s="147">
        <v>12</v>
      </c>
      <c r="L104" s="147">
        <v>9</v>
      </c>
      <c r="M104" s="147">
        <v>15</v>
      </c>
      <c r="N104" s="147">
        <v>25</v>
      </c>
      <c r="O104" s="147">
        <v>39</v>
      </c>
      <c r="P104" s="147">
        <v>0</v>
      </c>
      <c r="Q104" s="147">
        <v>10</v>
      </c>
      <c r="R104" s="147">
        <v>11</v>
      </c>
      <c r="S104" s="147">
        <v>14</v>
      </c>
      <c r="T104" s="147">
        <v>19</v>
      </c>
      <c r="U104" s="147">
        <v>24</v>
      </c>
      <c r="V104" s="147">
        <v>31</v>
      </c>
      <c r="W104" s="147">
        <v>0</v>
      </c>
      <c r="X104" s="147">
        <v>6</v>
      </c>
      <c r="Y104" s="147">
        <v>13</v>
      </c>
      <c r="Z104" s="147">
        <v>15</v>
      </c>
      <c r="AA104" s="147">
        <v>13</v>
      </c>
      <c r="AB104" s="147">
        <v>23</v>
      </c>
      <c r="AC104" s="147">
        <v>36</v>
      </c>
      <c r="AD104" s="147">
        <v>0</v>
      </c>
      <c r="AE104" s="147">
        <v>12</v>
      </c>
      <c r="AF104" s="147">
        <v>21</v>
      </c>
      <c r="AG104" s="63">
        <f t="shared" si="38"/>
        <v>530</v>
      </c>
      <c r="AH104" s="63"/>
      <c r="AI104" s="63">
        <f>AG104+AH105+AH106+AH107</f>
        <v>530</v>
      </c>
    </row>
    <row r="105" spans="1:75" ht="21">
      <c r="A105" s="55" t="s">
        <v>23</v>
      </c>
      <c r="B105" s="147">
        <v>0</v>
      </c>
      <c r="C105" s="147">
        <v>1</v>
      </c>
      <c r="D105" s="147">
        <v>0</v>
      </c>
      <c r="E105" s="147">
        <v>0</v>
      </c>
      <c r="F105" s="147">
        <v>0</v>
      </c>
      <c r="G105" s="147">
        <v>0</v>
      </c>
      <c r="H105" s="147">
        <v>0</v>
      </c>
      <c r="I105" s="147">
        <v>0</v>
      </c>
      <c r="J105" s="147">
        <v>0</v>
      </c>
      <c r="K105" s="147">
        <v>0</v>
      </c>
      <c r="L105" s="147">
        <v>0</v>
      </c>
      <c r="M105" s="147">
        <v>0</v>
      </c>
      <c r="N105" s="147">
        <v>0</v>
      </c>
      <c r="O105" s="147">
        <v>0</v>
      </c>
      <c r="P105" s="147">
        <v>0</v>
      </c>
      <c r="Q105" s="147">
        <v>0</v>
      </c>
      <c r="R105" s="147">
        <v>0</v>
      </c>
      <c r="S105" s="147">
        <v>0</v>
      </c>
      <c r="T105" s="147">
        <v>1</v>
      </c>
      <c r="U105" s="147">
        <v>0</v>
      </c>
      <c r="V105" s="147">
        <v>0</v>
      </c>
      <c r="W105" s="147">
        <v>0</v>
      </c>
      <c r="X105" s="147">
        <v>0</v>
      </c>
      <c r="Y105" s="147">
        <v>0</v>
      </c>
      <c r="Z105" s="147">
        <v>0</v>
      </c>
      <c r="AA105" s="147">
        <v>0</v>
      </c>
      <c r="AB105" s="147">
        <v>0</v>
      </c>
      <c r="AC105" s="147">
        <v>1</v>
      </c>
      <c r="AD105" s="147">
        <v>0</v>
      </c>
      <c r="AE105" s="147">
        <v>0</v>
      </c>
      <c r="AF105" s="147">
        <v>0</v>
      </c>
      <c r="AG105" s="63">
        <f t="shared" si="38"/>
        <v>3</v>
      </c>
      <c r="AH105" s="63"/>
      <c r="AI105" s="63">
        <f t="shared" ref="AI105:AI110" si="39">AG105-AH105</f>
        <v>3</v>
      </c>
    </row>
    <row r="106" spans="1:75" ht="21">
      <c r="A106" s="55" t="s">
        <v>24</v>
      </c>
      <c r="B106" s="147">
        <v>0</v>
      </c>
      <c r="C106" s="147">
        <v>0</v>
      </c>
      <c r="D106" s="147">
        <v>0</v>
      </c>
      <c r="E106" s="147">
        <v>0</v>
      </c>
      <c r="F106" s="147">
        <v>0</v>
      </c>
      <c r="G106" s="147">
        <v>0</v>
      </c>
      <c r="H106" s="147">
        <v>0</v>
      </c>
      <c r="I106" s="147">
        <v>0</v>
      </c>
      <c r="J106" s="147">
        <v>0</v>
      </c>
      <c r="K106" s="147">
        <v>0</v>
      </c>
      <c r="L106" s="147">
        <v>0</v>
      </c>
      <c r="M106" s="147">
        <v>0</v>
      </c>
      <c r="N106" s="147">
        <v>0</v>
      </c>
      <c r="O106" s="147">
        <v>0</v>
      </c>
      <c r="P106" s="147">
        <v>0</v>
      </c>
      <c r="Q106" s="147">
        <v>0</v>
      </c>
      <c r="R106" s="147">
        <v>0</v>
      </c>
      <c r="S106" s="147">
        <v>0</v>
      </c>
      <c r="T106" s="147">
        <v>0</v>
      </c>
      <c r="U106" s="147">
        <v>0</v>
      </c>
      <c r="V106" s="147">
        <v>0</v>
      </c>
      <c r="W106" s="147">
        <v>0</v>
      </c>
      <c r="X106" s="147">
        <v>0</v>
      </c>
      <c r="Y106" s="147">
        <v>0</v>
      </c>
      <c r="Z106" s="147">
        <v>0</v>
      </c>
      <c r="AA106" s="147">
        <v>0</v>
      </c>
      <c r="AB106" s="147">
        <v>0</v>
      </c>
      <c r="AC106" s="147">
        <v>0</v>
      </c>
      <c r="AD106" s="147">
        <v>0</v>
      </c>
      <c r="AE106" s="147">
        <v>0</v>
      </c>
      <c r="AF106" s="147">
        <v>0</v>
      </c>
      <c r="AG106" s="63">
        <f t="shared" si="38"/>
        <v>0</v>
      </c>
      <c r="AH106" s="63"/>
      <c r="AI106" s="63">
        <f t="shared" si="39"/>
        <v>0</v>
      </c>
    </row>
    <row r="107" spans="1:75" ht="21">
      <c r="A107" s="55" t="s">
        <v>26</v>
      </c>
      <c r="B107" s="147">
        <v>0</v>
      </c>
      <c r="C107" s="147">
        <v>1</v>
      </c>
      <c r="D107" s="147">
        <v>3</v>
      </c>
      <c r="E107" s="147">
        <v>0</v>
      </c>
      <c r="F107" s="147">
        <v>0</v>
      </c>
      <c r="G107" s="147">
        <v>0</v>
      </c>
      <c r="H107" s="147">
        <v>1</v>
      </c>
      <c r="I107" s="147">
        <v>0</v>
      </c>
      <c r="J107" s="147">
        <v>0</v>
      </c>
      <c r="K107" s="147">
        <v>0</v>
      </c>
      <c r="L107" s="147">
        <v>0</v>
      </c>
      <c r="M107" s="147">
        <v>3</v>
      </c>
      <c r="N107" s="147">
        <v>0</v>
      </c>
      <c r="O107" s="147">
        <v>1</v>
      </c>
      <c r="P107" s="147">
        <v>0</v>
      </c>
      <c r="Q107" s="147">
        <v>2</v>
      </c>
      <c r="R107" s="147">
        <v>0</v>
      </c>
      <c r="S107" s="147">
        <v>0</v>
      </c>
      <c r="T107" s="147">
        <v>0</v>
      </c>
      <c r="U107" s="147">
        <v>0</v>
      </c>
      <c r="V107" s="147">
        <v>0</v>
      </c>
      <c r="W107" s="147">
        <v>0</v>
      </c>
      <c r="X107" s="147">
        <v>0</v>
      </c>
      <c r="Y107" s="147">
        <v>0</v>
      </c>
      <c r="Z107" s="147">
        <v>0</v>
      </c>
      <c r="AA107" s="147">
        <v>0</v>
      </c>
      <c r="AB107" s="147">
        <v>0</v>
      </c>
      <c r="AC107" s="147">
        <v>0</v>
      </c>
      <c r="AD107" s="147">
        <v>0</v>
      </c>
      <c r="AE107" s="147">
        <v>0</v>
      </c>
      <c r="AF107" s="147">
        <v>0</v>
      </c>
      <c r="AG107" s="63">
        <f t="shared" si="38"/>
        <v>11</v>
      </c>
      <c r="AH107" s="63"/>
      <c r="AI107" s="63">
        <f t="shared" si="39"/>
        <v>11</v>
      </c>
    </row>
    <row r="108" spans="1:75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171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8"/>
        <v>0</v>
      </c>
      <c r="AH108" s="70"/>
      <c r="AI108" s="63">
        <f t="shared" si="39"/>
        <v>0</v>
      </c>
    </row>
    <row r="109" spans="1:75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172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8"/>
        <v>0</v>
      </c>
      <c r="AH109" s="71"/>
      <c r="AI109" s="63">
        <f t="shared" si="39"/>
        <v>0</v>
      </c>
    </row>
    <row r="110" spans="1:75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5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8"/>
        <v>0</v>
      </c>
      <c r="AH110" s="63"/>
      <c r="AI110" s="63">
        <f t="shared" si="39"/>
        <v>0</v>
      </c>
    </row>
  </sheetData>
  <mergeCells count="18">
    <mergeCell ref="A100:AG100"/>
    <mergeCell ref="AK16:AV17"/>
    <mergeCell ref="A23:AG23"/>
    <mergeCell ref="AY27:AZ27"/>
    <mergeCell ref="AY28:AZ28"/>
    <mergeCell ref="AY29:AZ29"/>
    <mergeCell ref="A34:AG34"/>
    <mergeCell ref="A45:AG45"/>
    <mergeCell ref="A56:AG56"/>
    <mergeCell ref="A67:AG67"/>
    <mergeCell ref="A78:AG78"/>
    <mergeCell ref="A89:AG89"/>
    <mergeCell ref="AK14:AV15"/>
    <mergeCell ref="A1:AG1"/>
    <mergeCell ref="AK1:AV2"/>
    <mergeCell ref="AX1:BB2"/>
    <mergeCell ref="BE1:BH2"/>
    <mergeCell ref="A12:AG1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3643-080D-4A51-9E1C-638EA6491909}">
  <dimension ref="A1:BX123"/>
  <sheetViews>
    <sheetView showGridLines="0" zoomScale="50" zoomScaleNormal="50" workbookViewId="0">
      <pane xSplit="1" topLeftCell="AF1" activePane="topRight" state="frozen"/>
      <selection pane="topRight" activeCell="AM6" sqref="AM6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6" width="24.28515625" style="3" customWidth="1"/>
    <col min="47" max="47" width="30.42578125" style="3" customWidth="1"/>
    <col min="48" max="48" width="21.140625" style="3" customWidth="1"/>
    <col min="49" max="49" width="10.5703125" style="3" customWidth="1"/>
    <col min="51" max="51" width="33.5703125" customWidth="1"/>
    <col min="52" max="53" width="28.7109375" customWidth="1"/>
    <col min="54" max="54" width="29.85546875" customWidth="1"/>
    <col min="55" max="55" width="17" customWidth="1"/>
    <col min="58" max="58" width="14.140625" style="2" customWidth="1"/>
    <col min="59" max="59" width="17.7109375" style="2" customWidth="1"/>
    <col min="60" max="60" width="25.42578125" style="2" customWidth="1"/>
    <col min="61" max="61" width="26.5703125" style="2" customWidth="1"/>
  </cols>
  <sheetData>
    <row r="1" spans="1:61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270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3"/>
      <c r="AY1" s="257" t="s">
        <v>1</v>
      </c>
      <c r="AZ1" s="258"/>
      <c r="BA1" s="258"/>
      <c r="BB1" s="258"/>
      <c r="BC1" s="259"/>
      <c r="BF1" s="263"/>
      <c r="BG1" s="263"/>
      <c r="BH1" s="263"/>
      <c r="BI1" s="263"/>
    </row>
    <row r="2" spans="1:61" s="1" customFormat="1" ht="23.25" customHeight="1" thickBot="1">
      <c r="A2" s="53"/>
      <c r="B2" s="54">
        <v>46113</v>
      </c>
      <c r="C2" s="54">
        <v>46114</v>
      </c>
      <c r="D2" s="54">
        <v>46115</v>
      </c>
      <c r="E2" s="54">
        <v>46116</v>
      </c>
      <c r="F2" s="54">
        <v>46117</v>
      </c>
      <c r="G2" s="54">
        <v>46118</v>
      </c>
      <c r="H2" s="54">
        <v>46119</v>
      </c>
      <c r="I2" s="54">
        <v>46120</v>
      </c>
      <c r="J2" s="54">
        <v>46121</v>
      </c>
      <c r="K2" s="54">
        <v>46122</v>
      </c>
      <c r="L2" s="54">
        <v>46123</v>
      </c>
      <c r="M2" s="54">
        <v>46124</v>
      </c>
      <c r="N2" s="54">
        <v>46125</v>
      </c>
      <c r="O2" s="54">
        <v>46126</v>
      </c>
      <c r="P2" s="54">
        <v>46127</v>
      </c>
      <c r="Q2" s="54">
        <v>46128</v>
      </c>
      <c r="R2" s="54">
        <v>46129</v>
      </c>
      <c r="S2" s="54">
        <v>46130</v>
      </c>
      <c r="T2" s="54">
        <v>46131</v>
      </c>
      <c r="U2" s="54">
        <v>46132</v>
      </c>
      <c r="V2" s="54">
        <v>46133</v>
      </c>
      <c r="W2" s="54">
        <v>46134</v>
      </c>
      <c r="X2" s="54">
        <v>46135</v>
      </c>
      <c r="Y2" s="54">
        <v>46136</v>
      </c>
      <c r="Z2" s="54">
        <v>46137</v>
      </c>
      <c r="AA2" s="54">
        <v>46138</v>
      </c>
      <c r="AB2" s="54">
        <v>46139</v>
      </c>
      <c r="AC2" s="54">
        <v>46140</v>
      </c>
      <c r="AD2" s="54">
        <v>46141</v>
      </c>
      <c r="AE2" s="54">
        <v>46142</v>
      </c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Y2" s="260"/>
      <c r="AZ2" s="261"/>
      <c r="BA2" s="261"/>
      <c r="BB2" s="261"/>
      <c r="BC2" s="262"/>
      <c r="BF2" s="263"/>
      <c r="BG2" s="263"/>
      <c r="BH2" s="263"/>
      <c r="BI2" s="263"/>
    </row>
    <row r="3" spans="1:61" ht="21.75" thickBot="1">
      <c r="A3" s="55" t="s">
        <v>5</v>
      </c>
      <c r="B3" s="56">
        <v>37</v>
      </c>
      <c r="C3" s="56">
        <v>61</v>
      </c>
      <c r="D3" s="56">
        <v>39</v>
      </c>
      <c r="E3" s="56">
        <v>66</v>
      </c>
      <c r="F3" s="56">
        <v>34</v>
      </c>
      <c r="G3" s="56">
        <v>25</v>
      </c>
      <c r="H3" s="56">
        <v>34</v>
      </c>
      <c r="I3" s="56">
        <v>34</v>
      </c>
      <c r="J3" s="56">
        <v>28</v>
      </c>
      <c r="K3" s="56">
        <v>38</v>
      </c>
      <c r="L3" s="56">
        <v>63</v>
      </c>
      <c r="M3" s="56">
        <v>31</v>
      </c>
      <c r="N3" s="56">
        <v>24</v>
      </c>
      <c r="O3" s="56">
        <v>30</v>
      </c>
      <c r="P3" s="56">
        <v>22</v>
      </c>
      <c r="Q3" s="56">
        <v>31</v>
      </c>
      <c r="R3" s="56">
        <v>41</v>
      </c>
      <c r="S3" s="56">
        <v>71</v>
      </c>
      <c r="T3" s="56">
        <v>35</v>
      </c>
      <c r="U3" s="56">
        <v>17</v>
      </c>
      <c r="V3" s="56">
        <v>21</v>
      </c>
      <c r="W3" s="56">
        <v>26</v>
      </c>
      <c r="X3" s="56">
        <v>23</v>
      </c>
      <c r="Y3" s="56">
        <v>47</v>
      </c>
      <c r="Z3" s="56">
        <v>60</v>
      </c>
      <c r="AA3" s="56">
        <v>28</v>
      </c>
      <c r="AB3" s="56">
        <v>38</v>
      </c>
      <c r="AC3" s="56">
        <v>26</v>
      </c>
      <c r="AD3" s="56">
        <v>28</v>
      </c>
      <c r="AE3" s="56">
        <v>35</v>
      </c>
      <c r="AF3" s="56"/>
      <c r="AG3" s="63">
        <f>SUM(B3:AF3)</f>
        <v>1093</v>
      </c>
      <c r="AH3" s="63"/>
      <c r="AI3" s="63">
        <f>AG3</f>
        <v>1093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305</v>
      </c>
      <c r="AU3" s="65" t="s">
        <v>14</v>
      </c>
      <c r="AV3" s="65" t="s">
        <v>15</v>
      </c>
      <c r="AW3" s="84" t="s">
        <v>2</v>
      </c>
      <c r="AY3" s="85" t="s">
        <v>16</v>
      </c>
      <c r="AZ3" s="86" t="s">
        <v>17</v>
      </c>
      <c r="BA3" s="86" t="s">
        <v>18</v>
      </c>
      <c r="BB3" s="86" t="s">
        <v>19</v>
      </c>
      <c r="BC3" s="86" t="s">
        <v>20</v>
      </c>
      <c r="BF3" s="110"/>
      <c r="BG3" s="110"/>
      <c r="BH3" s="111"/>
      <c r="BI3" s="110"/>
    </row>
    <row r="4" spans="1:61" ht="21">
      <c r="A4" s="55" t="s">
        <v>21</v>
      </c>
      <c r="B4" s="56">
        <v>16</v>
      </c>
      <c r="C4" s="56">
        <v>37</v>
      </c>
      <c r="D4" s="56">
        <v>25</v>
      </c>
      <c r="E4" s="56">
        <v>44</v>
      </c>
      <c r="F4" s="56">
        <v>22</v>
      </c>
      <c r="G4" s="56">
        <v>10</v>
      </c>
      <c r="H4" s="56">
        <v>18</v>
      </c>
      <c r="I4" s="56">
        <v>20</v>
      </c>
      <c r="J4" s="56">
        <v>17</v>
      </c>
      <c r="K4" s="56">
        <v>24</v>
      </c>
      <c r="L4" s="56">
        <v>37</v>
      </c>
      <c r="M4" s="56">
        <v>15</v>
      </c>
      <c r="N4" s="56">
        <v>15</v>
      </c>
      <c r="O4" s="56">
        <v>22</v>
      </c>
      <c r="P4" s="56">
        <v>14</v>
      </c>
      <c r="Q4" s="56">
        <v>16</v>
      </c>
      <c r="R4" s="56">
        <v>25</v>
      </c>
      <c r="S4" s="56">
        <v>39</v>
      </c>
      <c r="T4" s="56">
        <v>19</v>
      </c>
      <c r="U4" s="56">
        <v>5</v>
      </c>
      <c r="V4" s="56">
        <v>7</v>
      </c>
      <c r="W4" s="56">
        <v>11</v>
      </c>
      <c r="X4" s="56">
        <v>15</v>
      </c>
      <c r="Y4" s="56">
        <v>27</v>
      </c>
      <c r="Z4" s="56">
        <v>39</v>
      </c>
      <c r="AA4" s="56">
        <v>20</v>
      </c>
      <c r="AB4" s="56">
        <v>21</v>
      </c>
      <c r="AC4" s="56">
        <v>14</v>
      </c>
      <c r="AD4" s="56">
        <v>15</v>
      </c>
      <c r="AE4" s="56">
        <v>14</v>
      </c>
      <c r="AF4" s="56"/>
      <c r="AG4" s="63">
        <f t="shared" ref="AG4:AG11" si="0">SUM(B4:AF4)</f>
        <v>623</v>
      </c>
      <c r="AH4" s="63"/>
      <c r="AI4" s="63">
        <f>AG4+AH6+AH7+AH8</f>
        <v>623</v>
      </c>
      <c r="AK4" s="66" t="s">
        <v>5</v>
      </c>
      <c r="AL4" s="67">
        <f>AI3</f>
        <v>1093</v>
      </c>
      <c r="AM4" s="67">
        <f t="shared" ref="AM4:AM12" si="1">AI14</f>
        <v>1018</v>
      </c>
      <c r="AN4" s="67">
        <f t="shared" ref="AN4:AN12" si="2">AI25</f>
        <v>900</v>
      </c>
      <c r="AO4" s="67">
        <f t="shared" ref="AO4:AO12" si="3">AI36</f>
        <v>545</v>
      </c>
      <c r="AP4" s="67">
        <f t="shared" ref="AP4:AP12" si="4">AI47</f>
        <v>733</v>
      </c>
      <c r="AQ4" s="67">
        <f t="shared" ref="AQ4:AQ12" si="5">AI58</f>
        <v>685</v>
      </c>
      <c r="AR4" s="67">
        <f t="shared" ref="AR4:AR12" si="6">AI69</f>
        <v>1250</v>
      </c>
      <c r="AS4" s="67">
        <f t="shared" ref="AS4:AS12" si="7">AI80</f>
        <v>1050</v>
      </c>
      <c r="AT4" s="67">
        <f t="shared" ref="AT4:AT12" si="8">AI115</f>
        <v>354</v>
      </c>
      <c r="AU4" s="67">
        <f t="shared" ref="AU4:AU12" si="9">AI91</f>
        <v>1262</v>
      </c>
      <c r="AV4" s="67">
        <f t="shared" ref="AV4:AV12" si="10">AI102</f>
        <v>1062</v>
      </c>
      <c r="AW4" s="87">
        <f t="shared" ref="AW4:AW12" si="11">SUM(AL4:AV4)</f>
        <v>9952</v>
      </c>
      <c r="AY4" s="88">
        <v>1</v>
      </c>
      <c r="AZ4" s="88" t="s">
        <v>7</v>
      </c>
      <c r="BA4" s="88">
        <f>AL5</f>
        <v>623</v>
      </c>
      <c r="BB4" s="88">
        <f>AL7+AL9</f>
        <v>17</v>
      </c>
      <c r="BC4" s="89">
        <f>BB4/BA4</f>
        <v>2.7287319422150885E-2</v>
      </c>
      <c r="BF4" s="112"/>
      <c r="BG4" s="112"/>
      <c r="BH4" s="113"/>
      <c r="BI4" s="112"/>
    </row>
    <row r="5" spans="1:61" ht="21">
      <c r="A5" s="55" t="s">
        <v>22</v>
      </c>
      <c r="B5" s="125">
        <v>16</v>
      </c>
      <c r="C5" s="125">
        <v>36</v>
      </c>
      <c r="D5" s="125">
        <v>24</v>
      </c>
      <c r="E5" s="125">
        <v>43</v>
      </c>
      <c r="F5" s="125">
        <v>22</v>
      </c>
      <c r="G5" s="125">
        <v>10</v>
      </c>
      <c r="H5" s="125">
        <v>17</v>
      </c>
      <c r="I5" s="125">
        <v>20</v>
      </c>
      <c r="J5" s="125">
        <v>17</v>
      </c>
      <c r="K5" s="125">
        <v>24</v>
      </c>
      <c r="L5" s="125">
        <v>35</v>
      </c>
      <c r="M5" s="125">
        <v>15</v>
      </c>
      <c r="N5" s="125">
        <v>14</v>
      </c>
      <c r="O5" s="125">
        <v>22</v>
      </c>
      <c r="P5" s="125">
        <v>13</v>
      </c>
      <c r="Q5" s="125">
        <v>14</v>
      </c>
      <c r="R5" s="125">
        <v>23</v>
      </c>
      <c r="S5" s="125">
        <v>37</v>
      </c>
      <c r="T5" s="125">
        <v>19</v>
      </c>
      <c r="U5" s="125">
        <v>5</v>
      </c>
      <c r="V5" s="125">
        <v>6</v>
      </c>
      <c r="W5" s="125">
        <v>11</v>
      </c>
      <c r="X5" s="125">
        <v>15</v>
      </c>
      <c r="Y5" s="125">
        <v>26</v>
      </c>
      <c r="Z5" s="125">
        <v>39</v>
      </c>
      <c r="AA5" s="125">
        <v>20</v>
      </c>
      <c r="AB5" s="125">
        <v>20</v>
      </c>
      <c r="AC5" s="125">
        <v>13</v>
      </c>
      <c r="AD5" s="125">
        <v>15</v>
      </c>
      <c r="AE5" s="125">
        <v>14</v>
      </c>
      <c r="AF5" s="56"/>
      <c r="AG5" s="63">
        <f t="shared" si="0"/>
        <v>605</v>
      </c>
      <c r="AH5" s="63"/>
      <c r="AI5" s="63">
        <f t="shared" ref="AI5:AI11" si="12">AG5-AH5</f>
        <v>605</v>
      </c>
      <c r="AK5" s="66" t="s">
        <v>21</v>
      </c>
      <c r="AL5" s="67">
        <f t="shared" ref="AL5:AL12" si="13">AI4</f>
        <v>623</v>
      </c>
      <c r="AM5" s="67">
        <f t="shared" si="1"/>
        <v>561</v>
      </c>
      <c r="AN5" s="67">
        <f t="shared" si="2"/>
        <v>585</v>
      </c>
      <c r="AO5" s="67">
        <f t="shared" si="3"/>
        <v>413</v>
      </c>
      <c r="AP5" s="67">
        <f t="shared" si="4"/>
        <v>432</v>
      </c>
      <c r="AQ5" s="67">
        <f t="shared" si="5"/>
        <v>371</v>
      </c>
      <c r="AR5" s="67">
        <f t="shared" si="6"/>
        <v>600</v>
      </c>
      <c r="AS5" s="67">
        <f t="shared" si="7"/>
        <v>512</v>
      </c>
      <c r="AT5" s="67">
        <f t="shared" si="8"/>
        <v>166</v>
      </c>
      <c r="AU5" s="67">
        <f t="shared" si="9"/>
        <v>641</v>
      </c>
      <c r="AV5" s="67">
        <f t="shared" si="10"/>
        <v>493</v>
      </c>
      <c r="AW5" s="87">
        <f t="shared" si="11"/>
        <v>5397</v>
      </c>
      <c r="AY5" s="90">
        <v>2</v>
      </c>
      <c r="AZ5" s="90" t="s">
        <v>8</v>
      </c>
      <c r="BA5" s="90">
        <f>AM5</f>
        <v>561</v>
      </c>
      <c r="BB5" s="90">
        <f>AM7+AM9</f>
        <v>21</v>
      </c>
      <c r="BC5" s="89">
        <f t="shared" ref="BC5:BC13" si="14">BB5/BA5</f>
        <v>3.7433155080213901E-2</v>
      </c>
      <c r="BF5" s="112"/>
      <c r="BG5" s="112"/>
      <c r="BH5" s="113"/>
      <c r="BI5" s="114"/>
    </row>
    <row r="6" spans="1:61" ht="21">
      <c r="A6" s="55" t="s">
        <v>23</v>
      </c>
      <c r="B6" s="125">
        <v>0</v>
      </c>
      <c r="C6" s="125">
        <v>0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0</v>
      </c>
      <c r="AB6" s="125">
        <v>0</v>
      </c>
      <c r="AC6" s="125">
        <v>1</v>
      </c>
      <c r="AD6" s="125">
        <v>0</v>
      </c>
      <c r="AE6" s="125">
        <v>0</v>
      </c>
      <c r="AF6" s="56"/>
      <c r="AG6" s="63">
        <f t="shared" si="0"/>
        <v>1</v>
      </c>
      <c r="AH6" s="63"/>
      <c r="AI6" s="63">
        <f t="shared" si="12"/>
        <v>1</v>
      </c>
      <c r="AK6" s="68" t="s">
        <v>22</v>
      </c>
      <c r="AL6" s="69">
        <f t="shared" si="13"/>
        <v>605</v>
      </c>
      <c r="AM6" s="69">
        <f t="shared" si="1"/>
        <v>539</v>
      </c>
      <c r="AN6" s="69">
        <f t="shared" si="2"/>
        <v>559</v>
      </c>
      <c r="AO6" s="69">
        <f t="shared" si="3"/>
        <v>381</v>
      </c>
      <c r="AP6" s="69">
        <f t="shared" si="4"/>
        <v>403</v>
      </c>
      <c r="AQ6" s="69">
        <f t="shared" si="5"/>
        <v>345</v>
      </c>
      <c r="AR6" s="69">
        <f t="shared" si="6"/>
        <v>509</v>
      </c>
      <c r="AS6" s="69">
        <f t="shared" si="7"/>
        <v>452</v>
      </c>
      <c r="AT6" s="69">
        <f t="shared" si="8"/>
        <v>139</v>
      </c>
      <c r="AU6" s="69">
        <f t="shared" si="9"/>
        <v>604</v>
      </c>
      <c r="AV6" s="69">
        <f t="shared" si="10"/>
        <v>480</v>
      </c>
      <c r="AW6" s="91">
        <f t="shared" si="11"/>
        <v>5016</v>
      </c>
      <c r="AY6" s="90">
        <v>3</v>
      </c>
      <c r="AZ6" s="90" t="s">
        <v>9</v>
      </c>
      <c r="BA6" s="90">
        <f>AN5</f>
        <v>585</v>
      </c>
      <c r="BB6" s="90">
        <f>AN7+AN9</f>
        <v>25</v>
      </c>
      <c r="BC6" s="89">
        <f t="shared" si="14"/>
        <v>4.2735042735042736E-2</v>
      </c>
      <c r="BF6" s="112"/>
      <c r="BG6" s="112"/>
      <c r="BH6" s="113"/>
      <c r="BI6" s="112"/>
    </row>
    <row r="7" spans="1:61" ht="21">
      <c r="A7" s="55" t="s">
        <v>24</v>
      </c>
      <c r="B7" s="125">
        <v>0</v>
      </c>
      <c r="C7" s="125">
        <v>0</v>
      </c>
      <c r="D7" s="125">
        <v>0</v>
      </c>
      <c r="E7" s="125">
        <v>0</v>
      </c>
      <c r="F7" s="125">
        <v>0</v>
      </c>
      <c r="G7" s="125">
        <v>0</v>
      </c>
      <c r="H7" s="125">
        <v>0</v>
      </c>
      <c r="I7" s="125">
        <v>0</v>
      </c>
      <c r="J7" s="125">
        <v>0</v>
      </c>
      <c r="K7" s="125">
        <v>0</v>
      </c>
      <c r="L7" s="125">
        <v>1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56"/>
      <c r="AG7" s="63">
        <f t="shared" si="0"/>
        <v>1</v>
      </c>
      <c r="AH7" s="63"/>
      <c r="AI7" s="63">
        <f t="shared" si="12"/>
        <v>1</v>
      </c>
      <c r="AK7" s="68" t="s">
        <v>23</v>
      </c>
      <c r="AL7" s="69">
        <f t="shared" si="13"/>
        <v>1</v>
      </c>
      <c r="AM7" s="69">
        <f t="shared" si="1"/>
        <v>9</v>
      </c>
      <c r="AN7" s="69">
        <f t="shared" si="2"/>
        <v>16</v>
      </c>
      <c r="AO7" s="69">
        <f t="shared" si="3"/>
        <v>17</v>
      </c>
      <c r="AP7" s="69">
        <f t="shared" si="4"/>
        <v>4</v>
      </c>
      <c r="AQ7" s="69">
        <f t="shared" si="5"/>
        <v>4</v>
      </c>
      <c r="AR7" s="69">
        <f t="shared" si="6"/>
        <v>9</v>
      </c>
      <c r="AS7" s="69">
        <f t="shared" si="7"/>
        <v>6</v>
      </c>
      <c r="AT7" s="69">
        <f t="shared" si="8"/>
        <v>4</v>
      </c>
      <c r="AU7" s="69">
        <f t="shared" si="9"/>
        <v>6</v>
      </c>
      <c r="AV7" s="69">
        <f t="shared" si="10"/>
        <v>3</v>
      </c>
      <c r="AW7" s="91">
        <f t="shared" si="11"/>
        <v>79</v>
      </c>
      <c r="AY7" s="90">
        <v>4</v>
      </c>
      <c r="AZ7" s="90" t="s">
        <v>25</v>
      </c>
      <c r="BA7" s="90">
        <f>AO5</f>
        <v>413</v>
      </c>
      <c r="BB7" s="90">
        <f>AO7+AO9</f>
        <v>22</v>
      </c>
      <c r="BC7" s="89">
        <f t="shared" si="14"/>
        <v>5.3268765133171914E-2</v>
      </c>
      <c r="BF7" s="112"/>
      <c r="BG7" s="112"/>
      <c r="BH7" s="113"/>
      <c r="BI7" s="114"/>
    </row>
    <row r="8" spans="1:61" ht="21">
      <c r="A8" s="55" t="s">
        <v>26</v>
      </c>
      <c r="B8" s="125">
        <v>0</v>
      </c>
      <c r="C8" s="125">
        <v>1</v>
      </c>
      <c r="D8" s="125">
        <v>1</v>
      </c>
      <c r="E8" s="125">
        <v>1</v>
      </c>
      <c r="F8" s="125">
        <v>0</v>
      </c>
      <c r="G8" s="125">
        <v>0</v>
      </c>
      <c r="H8" s="125">
        <v>1</v>
      </c>
      <c r="I8" s="125">
        <v>0</v>
      </c>
      <c r="J8" s="125">
        <v>0</v>
      </c>
      <c r="K8" s="125">
        <v>0</v>
      </c>
      <c r="L8" s="125">
        <v>1</v>
      </c>
      <c r="M8" s="125">
        <v>0</v>
      </c>
      <c r="N8" s="125">
        <v>1</v>
      </c>
      <c r="O8" s="125">
        <v>0</v>
      </c>
      <c r="P8" s="125">
        <v>1</v>
      </c>
      <c r="Q8" s="125">
        <v>2</v>
      </c>
      <c r="R8" s="125">
        <v>2</v>
      </c>
      <c r="S8" s="125">
        <v>2</v>
      </c>
      <c r="T8" s="125">
        <v>0</v>
      </c>
      <c r="U8" s="125">
        <v>0</v>
      </c>
      <c r="V8" s="125">
        <v>1</v>
      </c>
      <c r="W8" s="125">
        <v>0</v>
      </c>
      <c r="X8" s="125">
        <v>0</v>
      </c>
      <c r="Y8" s="125">
        <v>1</v>
      </c>
      <c r="Z8" s="125">
        <v>0</v>
      </c>
      <c r="AA8" s="125">
        <v>0</v>
      </c>
      <c r="AB8" s="125">
        <v>1</v>
      </c>
      <c r="AC8" s="125">
        <v>0</v>
      </c>
      <c r="AD8" s="125">
        <v>0</v>
      </c>
      <c r="AE8" s="125">
        <v>0</v>
      </c>
      <c r="AF8" s="56"/>
      <c r="AG8" s="63">
        <f t="shared" si="0"/>
        <v>16</v>
      </c>
      <c r="AH8" s="63"/>
      <c r="AI8" s="63">
        <f t="shared" si="12"/>
        <v>16</v>
      </c>
      <c r="AJ8" t="s">
        <v>27</v>
      </c>
      <c r="AK8" s="68" t="s">
        <v>24</v>
      </c>
      <c r="AL8" s="69">
        <f t="shared" si="13"/>
        <v>1</v>
      </c>
      <c r="AM8" s="69">
        <f t="shared" si="1"/>
        <v>1</v>
      </c>
      <c r="AN8" s="69">
        <f t="shared" si="2"/>
        <v>1</v>
      </c>
      <c r="AO8" s="69">
        <f t="shared" si="3"/>
        <v>10</v>
      </c>
      <c r="AP8" s="69">
        <f t="shared" si="4"/>
        <v>10</v>
      </c>
      <c r="AQ8" s="69">
        <f t="shared" si="5"/>
        <v>4</v>
      </c>
      <c r="AR8" s="69">
        <f t="shared" si="6"/>
        <v>2</v>
      </c>
      <c r="AS8" s="69">
        <f t="shared" si="7"/>
        <v>0</v>
      </c>
      <c r="AT8" s="69">
        <f t="shared" si="8"/>
        <v>1</v>
      </c>
      <c r="AU8" s="69">
        <f t="shared" si="9"/>
        <v>0</v>
      </c>
      <c r="AV8" s="69">
        <f t="shared" si="10"/>
        <v>0</v>
      </c>
      <c r="AW8" s="91">
        <f t="shared" si="11"/>
        <v>30</v>
      </c>
      <c r="AY8" s="90">
        <v>5</v>
      </c>
      <c r="AZ8" s="90" t="s">
        <v>11</v>
      </c>
      <c r="BA8" s="90">
        <f>AP5</f>
        <v>432</v>
      </c>
      <c r="BB8" s="90">
        <f>AP7+AP9</f>
        <v>19</v>
      </c>
      <c r="BC8" s="89">
        <f t="shared" si="14"/>
        <v>4.3981481481481483E-2</v>
      </c>
      <c r="BF8" s="112"/>
      <c r="BG8" s="112"/>
      <c r="BH8" s="113"/>
      <c r="BI8" s="114"/>
    </row>
    <row r="9" spans="1:61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2"/>
        <v>0</v>
      </c>
      <c r="AK9" s="68" t="s">
        <v>26</v>
      </c>
      <c r="AL9" s="69">
        <f t="shared" si="13"/>
        <v>16</v>
      </c>
      <c r="AM9" s="69">
        <f t="shared" si="1"/>
        <v>12</v>
      </c>
      <c r="AN9" s="69">
        <f t="shared" si="2"/>
        <v>9</v>
      </c>
      <c r="AO9" s="69">
        <f t="shared" si="3"/>
        <v>5</v>
      </c>
      <c r="AP9" s="69">
        <f t="shared" si="4"/>
        <v>15</v>
      </c>
      <c r="AQ9" s="69">
        <f t="shared" si="5"/>
        <v>18</v>
      </c>
      <c r="AR9" s="69">
        <f t="shared" si="6"/>
        <v>80</v>
      </c>
      <c r="AS9" s="69">
        <f t="shared" si="7"/>
        <v>54</v>
      </c>
      <c r="AT9" s="69">
        <f t="shared" si="8"/>
        <v>22</v>
      </c>
      <c r="AU9" s="69">
        <f t="shared" si="9"/>
        <v>31</v>
      </c>
      <c r="AV9" s="69">
        <f t="shared" si="10"/>
        <v>10</v>
      </c>
      <c r="AW9" s="91">
        <f t="shared" si="11"/>
        <v>272</v>
      </c>
      <c r="AY9" s="90">
        <v>6</v>
      </c>
      <c r="AZ9" s="90" t="s">
        <v>13</v>
      </c>
      <c r="BA9" s="90">
        <f>AQ5</f>
        <v>371</v>
      </c>
      <c r="BB9" s="90">
        <f>AQ7+AQ9</f>
        <v>22</v>
      </c>
      <c r="BC9" s="89">
        <f t="shared" si="14"/>
        <v>5.9299191374663072E-2</v>
      </c>
      <c r="BF9" s="112"/>
      <c r="BG9" s="112"/>
      <c r="BH9" s="113"/>
      <c r="BI9" s="112"/>
    </row>
    <row r="10" spans="1:61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2"/>
        <v>0</v>
      </c>
      <c r="AK10" s="66" t="s">
        <v>28</v>
      </c>
      <c r="AL10" s="67">
        <f t="shared" si="13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67">
        <f t="shared" si="10"/>
        <v>0</v>
      </c>
      <c r="AW10" s="87">
        <f t="shared" si="11"/>
        <v>0</v>
      </c>
      <c r="AY10" s="90">
        <v>7</v>
      </c>
      <c r="AZ10" s="90" t="s">
        <v>125</v>
      </c>
      <c r="BA10" s="90">
        <f>AR5</f>
        <v>600</v>
      </c>
      <c r="BB10" s="90">
        <f>AR7+AR9</f>
        <v>89</v>
      </c>
      <c r="BC10" s="89">
        <f t="shared" si="14"/>
        <v>0.14833333333333334</v>
      </c>
      <c r="BF10" s="112"/>
      <c r="BG10" s="112"/>
      <c r="BH10" s="113"/>
      <c r="BI10" s="112"/>
    </row>
    <row r="11" spans="1:61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2"/>
        <v>0</v>
      </c>
      <c r="AK11" s="66" t="s">
        <v>29</v>
      </c>
      <c r="AL11" s="72">
        <f t="shared" si="13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67">
        <f t="shared" si="8"/>
        <v>0</v>
      </c>
      <c r="AU11" s="72">
        <f t="shared" si="9"/>
        <v>0</v>
      </c>
      <c r="AV11" s="72">
        <f t="shared" si="10"/>
        <v>0</v>
      </c>
      <c r="AW11" s="92">
        <f t="shared" si="11"/>
        <v>0</v>
      </c>
      <c r="AY11" s="90">
        <v>8</v>
      </c>
      <c r="AZ11" s="90" t="s">
        <v>126</v>
      </c>
      <c r="BA11" s="90">
        <f>AS5</f>
        <v>512</v>
      </c>
      <c r="BB11" s="90">
        <f>AS7+AS9</f>
        <v>60</v>
      </c>
      <c r="BC11" s="89">
        <f t="shared" si="14"/>
        <v>0.1171875</v>
      </c>
      <c r="BF11" s="112"/>
      <c r="BG11" s="112"/>
      <c r="BH11" s="113"/>
      <c r="BI11" s="112"/>
    </row>
    <row r="12" spans="1:61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3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67">
        <f t="shared" si="8"/>
        <v>0</v>
      </c>
      <c r="AU12" s="72">
        <f t="shared" si="9"/>
        <v>0</v>
      </c>
      <c r="AV12" s="72">
        <f t="shared" si="10"/>
        <v>0</v>
      </c>
      <c r="AW12" s="92">
        <f t="shared" si="11"/>
        <v>0</v>
      </c>
      <c r="AY12" s="90">
        <v>9</v>
      </c>
      <c r="AZ12" s="90" t="s">
        <v>14</v>
      </c>
      <c r="BA12" s="90">
        <f>AU5</f>
        <v>641</v>
      </c>
      <c r="BB12" s="90">
        <f>AU7+AU9</f>
        <v>37</v>
      </c>
      <c r="BC12" s="89">
        <f t="shared" si="14"/>
        <v>5.7722308892355696E-2</v>
      </c>
      <c r="BF12" s="112"/>
      <c r="BG12" s="112"/>
      <c r="BH12" s="113"/>
      <c r="BI12" s="114"/>
    </row>
    <row r="13" spans="1:61" ht="21">
      <c r="A13" s="53"/>
      <c r="B13" s="54">
        <v>46113</v>
      </c>
      <c r="C13" s="54">
        <v>46114</v>
      </c>
      <c r="D13" s="54">
        <v>46115</v>
      </c>
      <c r="E13" s="54">
        <v>46116</v>
      </c>
      <c r="F13" s="54">
        <v>46117</v>
      </c>
      <c r="G13" s="54">
        <v>46118</v>
      </c>
      <c r="H13" s="54">
        <v>46119</v>
      </c>
      <c r="I13" s="54">
        <v>46120</v>
      </c>
      <c r="J13" s="54">
        <v>46121</v>
      </c>
      <c r="K13" s="54">
        <v>46122</v>
      </c>
      <c r="L13" s="54">
        <v>46123</v>
      </c>
      <c r="M13" s="54">
        <v>46124</v>
      </c>
      <c r="N13" s="54">
        <v>46125</v>
      </c>
      <c r="O13" s="54">
        <v>46126</v>
      </c>
      <c r="P13" s="54">
        <v>46127</v>
      </c>
      <c r="Q13" s="54">
        <v>46128</v>
      </c>
      <c r="R13" s="54">
        <v>46129</v>
      </c>
      <c r="S13" s="54">
        <v>46130</v>
      </c>
      <c r="T13" s="54">
        <v>46131</v>
      </c>
      <c r="U13" s="54">
        <v>46132</v>
      </c>
      <c r="V13" s="54">
        <v>46133</v>
      </c>
      <c r="W13" s="54">
        <v>46134</v>
      </c>
      <c r="X13" s="54">
        <v>46135</v>
      </c>
      <c r="Y13" s="54">
        <v>46136</v>
      </c>
      <c r="Z13" s="54">
        <v>46137</v>
      </c>
      <c r="AA13" s="54">
        <v>46138</v>
      </c>
      <c r="AB13" s="54">
        <v>46139</v>
      </c>
      <c r="AC13" s="54">
        <v>46140</v>
      </c>
      <c r="AD13" s="54">
        <v>46141</v>
      </c>
      <c r="AE13" s="54">
        <v>46142</v>
      </c>
      <c r="AF13" s="54"/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17</v>
      </c>
      <c r="AM13" s="74">
        <f t="shared" ref="AM13:AW13" si="15">AM7+AM9</f>
        <v>21</v>
      </c>
      <c r="AN13" s="74">
        <f t="shared" si="15"/>
        <v>25</v>
      </c>
      <c r="AO13" s="74">
        <f t="shared" si="15"/>
        <v>22</v>
      </c>
      <c r="AP13" s="74">
        <f t="shared" si="15"/>
        <v>19</v>
      </c>
      <c r="AQ13" s="74">
        <f t="shared" si="15"/>
        <v>22</v>
      </c>
      <c r="AR13" s="74">
        <f t="shared" si="15"/>
        <v>89</v>
      </c>
      <c r="AS13" s="74">
        <f t="shared" si="15"/>
        <v>60</v>
      </c>
      <c r="AT13" s="74">
        <f t="shared" si="15"/>
        <v>26</v>
      </c>
      <c r="AU13" s="74">
        <f t="shared" si="15"/>
        <v>37</v>
      </c>
      <c r="AV13" s="74">
        <f t="shared" si="15"/>
        <v>13</v>
      </c>
      <c r="AW13" s="93">
        <f t="shared" si="15"/>
        <v>351</v>
      </c>
      <c r="AY13" s="90">
        <v>10</v>
      </c>
      <c r="AZ13" s="90" t="s">
        <v>15</v>
      </c>
      <c r="BA13" s="90">
        <f>AV5</f>
        <v>493</v>
      </c>
      <c r="BB13" s="90">
        <f>AV7+AV9</f>
        <v>13</v>
      </c>
      <c r="BC13" s="89">
        <f t="shared" si="14"/>
        <v>2.6369168356997971E-2</v>
      </c>
      <c r="BF13" s="112"/>
      <c r="BG13" s="112"/>
      <c r="BH13" s="113"/>
      <c r="BI13" s="114"/>
    </row>
    <row r="14" spans="1:61" ht="21.75" thickBot="1">
      <c r="A14" s="55" t="s">
        <v>5</v>
      </c>
      <c r="B14" s="56">
        <v>43</v>
      </c>
      <c r="C14" s="56">
        <v>52</v>
      </c>
      <c r="D14" s="56">
        <v>37</v>
      </c>
      <c r="E14" s="56">
        <v>41</v>
      </c>
      <c r="F14" s="56">
        <v>32</v>
      </c>
      <c r="G14" s="56">
        <v>34</v>
      </c>
      <c r="H14" s="56">
        <v>24</v>
      </c>
      <c r="I14" s="56">
        <v>19</v>
      </c>
      <c r="J14" s="56">
        <v>29</v>
      </c>
      <c r="K14" s="56">
        <v>33</v>
      </c>
      <c r="L14" s="56">
        <v>56</v>
      </c>
      <c r="M14" s="56">
        <v>25</v>
      </c>
      <c r="N14" s="56">
        <v>25</v>
      </c>
      <c r="O14" s="56">
        <v>33</v>
      </c>
      <c r="P14" s="56">
        <v>27</v>
      </c>
      <c r="Q14" s="56">
        <v>36</v>
      </c>
      <c r="R14" s="56">
        <v>31</v>
      </c>
      <c r="S14" s="56">
        <v>66</v>
      </c>
      <c r="T14" s="56">
        <v>42</v>
      </c>
      <c r="U14" s="56">
        <v>27</v>
      </c>
      <c r="V14" s="56">
        <v>33</v>
      </c>
      <c r="W14" s="56">
        <v>36</v>
      </c>
      <c r="X14" s="56">
        <v>26</v>
      </c>
      <c r="Y14" s="56">
        <v>29</v>
      </c>
      <c r="Z14" s="56">
        <v>49</v>
      </c>
      <c r="AA14" s="56">
        <v>26</v>
      </c>
      <c r="AB14" s="56">
        <v>24</v>
      </c>
      <c r="AC14" s="56">
        <v>18</v>
      </c>
      <c r="AD14" s="56">
        <v>28</v>
      </c>
      <c r="AE14" s="56">
        <v>37</v>
      </c>
      <c r="AF14" s="56"/>
      <c r="AG14" s="63">
        <f>SUM(B14:AF14)</f>
        <v>1018</v>
      </c>
      <c r="AH14" s="63"/>
      <c r="AI14" s="63">
        <f>AG14</f>
        <v>1018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Y14" s="63"/>
      <c r="AZ14" s="63"/>
      <c r="BA14" s="63"/>
      <c r="BB14" s="63"/>
      <c r="BC14" s="63"/>
      <c r="BF14" s="112"/>
      <c r="BG14" s="112"/>
      <c r="BH14" s="113"/>
      <c r="BI14" s="114"/>
    </row>
    <row r="15" spans="1:61" ht="21">
      <c r="A15" s="55" t="s">
        <v>21</v>
      </c>
      <c r="B15" s="56">
        <v>25</v>
      </c>
      <c r="C15" s="56">
        <v>35</v>
      </c>
      <c r="D15" s="56">
        <v>19</v>
      </c>
      <c r="E15" s="56">
        <v>19</v>
      </c>
      <c r="F15" s="56">
        <v>15</v>
      </c>
      <c r="G15" s="56">
        <v>22</v>
      </c>
      <c r="H15" s="56">
        <v>12</v>
      </c>
      <c r="I15" s="56">
        <v>13</v>
      </c>
      <c r="J15" s="56">
        <v>21</v>
      </c>
      <c r="K15" s="56">
        <v>20</v>
      </c>
      <c r="L15" s="56">
        <v>36</v>
      </c>
      <c r="M15" s="56">
        <v>5</v>
      </c>
      <c r="N15" s="56">
        <v>12</v>
      </c>
      <c r="O15" s="56">
        <v>21</v>
      </c>
      <c r="P15" s="56">
        <v>12</v>
      </c>
      <c r="Q15" s="56">
        <v>15</v>
      </c>
      <c r="R15" s="56">
        <v>16</v>
      </c>
      <c r="S15" s="56">
        <v>41</v>
      </c>
      <c r="T15" s="56">
        <v>25</v>
      </c>
      <c r="U15" s="56">
        <v>9</v>
      </c>
      <c r="V15" s="56">
        <v>14</v>
      </c>
      <c r="W15" s="56">
        <v>17</v>
      </c>
      <c r="X15" s="56">
        <v>17</v>
      </c>
      <c r="Y15" s="56">
        <v>15</v>
      </c>
      <c r="Z15" s="56">
        <v>24</v>
      </c>
      <c r="AA15" s="56">
        <v>18</v>
      </c>
      <c r="AB15" s="56">
        <v>15</v>
      </c>
      <c r="AC15" s="56">
        <v>13</v>
      </c>
      <c r="AD15" s="56">
        <v>14</v>
      </c>
      <c r="AE15" s="56">
        <v>21</v>
      </c>
      <c r="AF15" s="56"/>
      <c r="AG15" s="63">
        <f t="shared" ref="AG15:AG22" si="16">SUM(B15:AF15)</f>
        <v>561</v>
      </c>
      <c r="AH15" s="63"/>
      <c r="AI15" s="63">
        <f>AG15+AH17+AH18+AH19</f>
        <v>561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Y15" s="94" t="s">
        <v>35</v>
      </c>
      <c r="AZ15" s="95" t="s">
        <v>36</v>
      </c>
      <c r="BA15" s="95" t="s">
        <v>2</v>
      </c>
      <c r="BB15" s="95" t="s">
        <v>37</v>
      </c>
      <c r="BC15" s="96" t="s">
        <v>38</v>
      </c>
      <c r="BF15" s="112"/>
      <c r="BG15" s="112"/>
      <c r="BH15" s="113"/>
      <c r="BI15" s="112"/>
    </row>
    <row r="16" spans="1:61" ht="18.75" customHeight="1">
      <c r="A16" s="55" t="s">
        <v>22</v>
      </c>
      <c r="B16" s="125">
        <v>23</v>
      </c>
      <c r="C16" s="125">
        <v>34</v>
      </c>
      <c r="D16" s="125">
        <v>19</v>
      </c>
      <c r="E16" s="125">
        <v>17</v>
      </c>
      <c r="F16" s="125">
        <v>14</v>
      </c>
      <c r="G16" s="125">
        <v>21</v>
      </c>
      <c r="H16" s="125">
        <v>11</v>
      </c>
      <c r="I16" s="125">
        <v>12</v>
      </c>
      <c r="J16" s="125">
        <v>21</v>
      </c>
      <c r="K16" s="125">
        <v>20</v>
      </c>
      <c r="L16" s="125">
        <v>36</v>
      </c>
      <c r="M16" s="125">
        <v>5</v>
      </c>
      <c r="N16" s="125">
        <v>12</v>
      </c>
      <c r="O16" s="125">
        <v>20</v>
      </c>
      <c r="P16" s="125">
        <v>11</v>
      </c>
      <c r="Q16" s="125">
        <v>15</v>
      </c>
      <c r="R16" s="125">
        <v>16</v>
      </c>
      <c r="S16" s="125">
        <v>39</v>
      </c>
      <c r="T16" s="125">
        <v>24</v>
      </c>
      <c r="U16" s="125">
        <v>8</v>
      </c>
      <c r="V16" s="125">
        <v>12</v>
      </c>
      <c r="W16" s="125">
        <v>16</v>
      </c>
      <c r="X16" s="125">
        <v>16</v>
      </c>
      <c r="Y16" s="125">
        <v>15</v>
      </c>
      <c r="Z16" s="125">
        <v>23</v>
      </c>
      <c r="AA16" s="125">
        <v>18</v>
      </c>
      <c r="AB16" s="125">
        <v>15</v>
      </c>
      <c r="AC16" s="125">
        <v>12</v>
      </c>
      <c r="AD16" s="125">
        <v>14</v>
      </c>
      <c r="AE16" s="125">
        <v>20</v>
      </c>
      <c r="AF16" s="56"/>
      <c r="AG16" s="63">
        <f t="shared" si="16"/>
        <v>539</v>
      </c>
      <c r="AH16" s="63"/>
      <c r="AI16" s="63">
        <f>AG16+AH17+AH18+AH19</f>
        <v>539</v>
      </c>
      <c r="AK16" s="265" t="s">
        <v>271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Y16" s="97">
        <v>100</v>
      </c>
      <c r="AZ16" s="98">
        <v>0.02</v>
      </c>
      <c r="BA16" s="63">
        <f t="shared" ref="BA16:BA25" si="17">AY16*AZ16</f>
        <v>2</v>
      </c>
      <c r="BB16" s="63">
        <v>1</v>
      </c>
      <c r="BC16" s="99">
        <f>BA16-BB16</f>
        <v>1</v>
      </c>
      <c r="BF16" s="112"/>
      <c r="BG16" s="112"/>
      <c r="BH16" s="113"/>
      <c r="BI16" s="114"/>
    </row>
    <row r="17" spans="1:61" ht="18.75" customHeight="1">
      <c r="A17" s="55" t="s">
        <v>23</v>
      </c>
      <c r="B17" s="125">
        <v>1</v>
      </c>
      <c r="C17" s="125">
        <v>1</v>
      </c>
      <c r="D17" s="125">
        <v>0</v>
      </c>
      <c r="E17" s="125">
        <v>0</v>
      </c>
      <c r="F17" s="125">
        <v>1</v>
      </c>
      <c r="G17" s="125">
        <v>1</v>
      </c>
      <c r="H17" s="125">
        <v>1</v>
      </c>
      <c r="I17" s="125">
        <v>1</v>
      </c>
      <c r="J17" s="125">
        <v>0</v>
      </c>
      <c r="K17" s="125">
        <v>0</v>
      </c>
      <c r="L17" s="125">
        <v>0</v>
      </c>
      <c r="M17" s="125">
        <v>0</v>
      </c>
      <c r="N17" s="125">
        <v>0</v>
      </c>
      <c r="O17" s="125">
        <v>0</v>
      </c>
      <c r="P17" s="125">
        <v>0</v>
      </c>
      <c r="Q17" s="125">
        <v>0</v>
      </c>
      <c r="R17" s="125">
        <v>0</v>
      </c>
      <c r="S17" s="125">
        <v>1</v>
      </c>
      <c r="T17" s="125">
        <v>0</v>
      </c>
      <c r="U17" s="125">
        <v>1</v>
      </c>
      <c r="V17" s="125">
        <v>1</v>
      </c>
      <c r="W17" s="125">
        <v>0</v>
      </c>
      <c r="X17" s="125">
        <v>0</v>
      </c>
      <c r="Y17" s="125">
        <v>0</v>
      </c>
      <c r="Z17" s="125">
        <v>0</v>
      </c>
      <c r="AA17" s="125">
        <v>0</v>
      </c>
      <c r="AB17" s="125">
        <v>0</v>
      </c>
      <c r="AC17" s="125">
        <v>0</v>
      </c>
      <c r="AD17" s="125">
        <v>0</v>
      </c>
      <c r="AE17" s="125">
        <v>0</v>
      </c>
      <c r="AF17" s="56"/>
      <c r="AG17" s="63">
        <f t="shared" si="16"/>
        <v>9</v>
      </c>
      <c r="AH17" s="63"/>
      <c r="AI17" s="63">
        <f t="shared" ref="AI17:AI22" si="18">AG17-AH17</f>
        <v>9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70"/>
      <c r="AY17" s="97">
        <v>200</v>
      </c>
      <c r="AZ17" s="98">
        <v>0.02</v>
      </c>
      <c r="BA17" s="63">
        <f t="shared" si="17"/>
        <v>4</v>
      </c>
      <c r="BB17" s="63">
        <v>1</v>
      </c>
      <c r="BC17" s="99">
        <f t="shared" ref="BC17:BC25" si="19">BA17-BB17</f>
        <v>3</v>
      </c>
      <c r="BF17" s="112"/>
      <c r="BG17" s="112"/>
      <c r="BH17" s="113"/>
      <c r="BI17" s="112"/>
    </row>
    <row r="18" spans="1:61" ht="23.25">
      <c r="A18" s="55" t="s">
        <v>24</v>
      </c>
      <c r="B18" s="125">
        <v>0</v>
      </c>
      <c r="C18" s="125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1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  <c r="AD18" s="125">
        <v>0</v>
      </c>
      <c r="AE18" s="125">
        <v>0</v>
      </c>
      <c r="AF18" s="56"/>
      <c r="AG18" s="63">
        <f t="shared" si="16"/>
        <v>1</v>
      </c>
      <c r="AH18" s="63"/>
      <c r="AI18" s="63">
        <f t="shared" si="18"/>
        <v>1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65" t="s">
        <v>305</v>
      </c>
      <c r="AU18" s="76" t="s">
        <v>14</v>
      </c>
      <c r="AV18" s="76" t="s">
        <v>15</v>
      </c>
      <c r="AW18" s="100" t="s">
        <v>2</v>
      </c>
      <c r="AY18" s="97">
        <v>300</v>
      </c>
      <c r="AZ18" s="98">
        <v>0.02</v>
      </c>
      <c r="BA18" s="63">
        <f t="shared" si="17"/>
        <v>6</v>
      </c>
      <c r="BB18" s="63">
        <v>1</v>
      </c>
      <c r="BC18" s="99">
        <f t="shared" si="19"/>
        <v>5</v>
      </c>
      <c r="BF18" s="115"/>
      <c r="BG18" s="115"/>
      <c r="BH18" s="115"/>
      <c r="BI18" s="112"/>
    </row>
    <row r="19" spans="1:61" ht="23.25">
      <c r="A19" s="55" t="s">
        <v>26</v>
      </c>
      <c r="B19" s="125">
        <v>1</v>
      </c>
      <c r="C19" s="125">
        <v>0</v>
      </c>
      <c r="D19" s="125">
        <v>0</v>
      </c>
      <c r="E19" s="125">
        <v>2</v>
      </c>
      <c r="F19" s="125">
        <v>0</v>
      </c>
      <c r="G19" s="125">
        <v>0</v>
      </c>
      <c r="H19" s="125">
        <v>0</v>
      </c>
      <c r="I19" s="125">
        <v>0</v>
      </c>
      <c r="J19" s="125">
        <v>0</v>
      </c>
      <c r="K19" s="125">
        <v>0</v>
      </c>
      <c r="L19" s="125">
        <v>0</v>
      </c>
      <c r="M19" s="125">
        <v>0</v>
      </c>
      <c r="N19" s="125">
        <v>0</v>
      </c>
      <c r="O19" s="125">
        <v>1</v>
      </c>
      <c r="P19" s="125">
        <v>1</v>
      </c>
      <c r="Q19" s="125">
        <v>0</v>
      </c>
      <c r="R19" s="125">
        <v>0</v>
      </c>
      <c r="S19" s="125">
        <v>1</v>
      </c>
      <c r="T19" s="125">
        <v>1</v>
      </c>
      <c r="U19" s="125">
        <v>0</v>
      </c>
      <c r="V19" s="125">
        <v>1</v>
      </c>
      <c r="W19" s="125">
        <v>1</v>
      </c>
      <c r="X19" s="125">
        <v>0</v>
      </c>
      <c r="Y19" s="125">
        <v>0</v>
      </c>
      <c r="Z19" s="125">
        <v>1</v>
      </c>
      <c r="AA19" s="125">
        <v>0</v>
      </c>
      <c r="AB19" s="125">
        <v>0</v>
      </c>
      <c r="AC19" s="125">
        <v>1</v>
      </c>
      <c r="AD19" s="125">
        <v>0</v>
      </c>
      <c r="AE19" s="125">
        <v>1</v>
      </c>
      <c r="AF19" s="56"/>
      <c r="AG19" s="63">
        <f t="shared" si="16"/>
        <v>12</v>
      </c>
      <c r="AH19" s="63"/>
      <c r="AI19" s="63">
        <f t="shared" si="18"/>
        <v>12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101"/>
      <c r="AY19" s="97">
        <v>400</v>
      </c>
      <c r="AZ19" s="98">
        <v>0.02</v>
      </c>
      <c r="BA19" s="63">
        <f t="shared" si="17"/>
        <v>8</v>
      </c>
      <c r="BB19" s="63">
        <v>1</v>
      </c>
      <c r="BC19" s="99">
        <f t="shared" si="19"/>
        <v>7</v>
      </c>
      <c r="BF19" s="112"/>
      <c r="BG19" s="112"/>
      <c r="BH19" s="113"/>
      <c r="BI19" s="116"/>
    </row>
    <row r="20" spans="1:61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6"/>
        <v>0</v>
      </c>
      <c r="AH20" s="70"/>
      <c r="AI20" s="63">
        <f t="shared" si="18"/>
        <v>0</v>
      </c>
      <c r="AK20" s="77" t="s">
        <v>40</v>
      </c>
      <c r="AL20" s="79">
        <f>+AL5/AL4</f>
        <v>0.56999085086916745</v>
      </c>
      <c r="AM20" s="79">
        <f t="shared" ref="AM20:AW21" si="20">+AM5/AM4</f>
        <v>0.55108055009823187</v>
      </c>
      <c r="AN20" s="79">
        <f t="shared" si="20"/>
        <v>0.65</v>
      </c>
      <c r="AO20" s="79">
        <f t="shared" si="20"/>
        <v>0.75779816513761467</v>
      </c>
      <c r="AP20" s="79">
        <f t="shared" si="20"/>
        <v>0.58935879945429737</v>
      </c>
      <c r="AQ20" s="79">
        <f t="shared" si="20"/>
        <v>0.54160583941605844</v>
      </c>
      <c r="AR20" s="79">
        <f t="shared" si="20"/>
        <v>0.48</v>
      </c>
      <c r="AS20" s="79">
        <f>+AS5/AS4</f>
        <v>0.48761904761904762</v>
      </c>
      <c r="AT20" s="79">
        <f>+AT5/AT4</f>
        <v>0.46892655367231639</v>
      </c>
      <c r="AU20" s="79">
        <f t="shared" si="20"/>
        <v>0.50792393026941363</v>
      </c>
      <c r="AV20" s="79">
        <f t="shared" si="20"/>
        <v>0.46421845574387949</v>
      </c>
      <c r="AW20" s="102">
        <f t="shared" si="20"/>
        <v>0.54230305466237938</v>
      </c>
      <c r="AY20" s="97">
        <v>500</v>
      </c>
      <c r="AZ20" s="98">
        <v>0.02</v>
      </c>
      <c r="BA20" s="63">
        <f t="shared" si="17"/>
        <v>10</v>
      </c>
      <c r="BB20" s="63">
        <v>1</v>
      </c>
      <c r="BC20" s="99">
        <f t="shared" si="19"/>
        <v>9</v>
      </c>
      <c r="BF20" s="112"/>
      <c r="BG20" s="112"/>
      <c r="BH20" s="113"/>
      <c r="BI20" s="116"/>
    </row>
    <row r="21" spans="1:61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6"/>
        <v>0</v>
      </c>
      <c r="AH21" s="71"/>
      <c r="AI21" s="63">
        <f t="shared" si="18"/>
        <v>0</v>
      </c>
      <c r="AK21" s="77" t="s">
        <v>41</v>
      </c>
      <c r="AL21" s="79">
        <f>+AL6/AL5</f>
        <v>0.971107544141252</v>
      </c>
      <c r="AM21" s="79">
        <f t="shared" si="20"/>
        <v>0.96078431372549022</v>
      </c>
      <c r="AN21" s="79">
        <f t="shared" si="20"/>
        <v>0.9555555555555556</v>
      </c>
      <c r="AO21" s="79">
        <f t="shared" si="20"/>
        <v>0.92251815980629537</v>
      </c>
      <c r="AP21" s="79">
        <f t="shared" si="20"/>
        <v>0.93287037037037035</v>
      </c>
      <c r="AQ21" s="79">
        <f t="shared" si="20"/>
        <v>0.92991913746630728</v>
      </c>
      <c r="AR21" s="79">
        <f t="shared" si="20"/>
        <v>0.84833333333333338</v>
      </c>
      <c r="AS21" s="79">
        <f t="shared" si="20"/>
        <v>0.8828125</v>
      </c>
      <c r="AT21" s="79">
        <f t="shared" si="20"/>
        <v>0.83734939759036142</v>
      </c>
      <c r="AU21" s="79">
        <f t="shared" si="20"/>
        <v>0.94227769110764426</v>
      </c>
      <c r="AV21" s="79">
        <f t="shared" si="20"/>
        <v>0.97363083164300201</v>
      </c>
      <c r="AW21" s="102">
        <f t="shared" si="20"/>
        <v>0.92940522512506951</v>
      </c>
      <c r="AY21" s="97">
        <v>600</v>
      </c>
      <c r="AZ21" s="98">
        <v>0.02</v>
      </c>
      <c r="BA21" s="63">
        <f t="shared" si="17"/>
        <v>12</v>
      </c>
      <c r="BB21" s="63">
        <v>1</v>
      </c>
      <c r="BC21" s="99">
        <f t="shared" si="19"/>
        <v>11</v>
      </c>
      <c r="BF21" s="112"/>
      <c r="BG21" s="112"/>
      <c r="BH21" s="113"/>
      <c r="BI21" s="116"/>
    </row>
    <row r="22" spans="1:61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6"/>
        <v>0</v>
      </c>
      <c r="AH22" s="63"/>
      <c r="AI22" s="63">
        <f t="shared" si="18"/>
        <v>0</v>
      </c>
      <c r="AK22" s="77" t="s">
        <v>23</v>
      </c>
      <c r="AL22" s="79">
        <f>AL7/AL5</f>
        <v>1.6051364365971107E-3</v>
      </c>
      <c r="AM22" s="79">
        <f t="shared" ref="AM22:AW22" si="21">AM7/AM5</f>
        <v>1.6042780748663103E-2</v>
      </c>
      <c r="AN22" s="79">
        <f t="shared" si="21"/>
        <v>2.735042735042735E-2</v>
      </c>
      <c r="AO22" s="79">
        <f t="shared" si="21"/>
        <v>4.1162227602905568E-2</v>
      </c>
      <c r="AP22" s="79">
        <f t="shared" si="21"/>
        <v>9.2592592592592587E-3</v>
      </c>
      <c r="AQ22" s="79">
        <f t="shared" si="21"/>
        <v>1.078167115902965E-2</v>
      </c>
      <c r="AR22" s="79">
        <f t="shared" si="21"/>
        <v>1.4999999999999999E-2</v>
      </c>
      <c r="AS22" s="79">
        <f t="shared" si="21"/>
        <v>1.171875E-2</v>
      </c>
      <c r="AT22" s="79">
        <f t="shared" si="21"/>
        <v>2.4096385542168676E-2</v>
      </c>
      <c r="AU22" s="79">
        <f t="shared" si="21"/>
        <v>9.3603744149765994E-3</v>
      </c>
      <c r="AV22" s="79">
        <f t="shared" si="21"/>
        <v>6.0851926977687626E-3</v>
      </c>
      <c r="AW22" s="102">
        <f t="shared" si="21"/>
        <v>1.4637761719473782E-2</v>
      </c>
      <c r="AY22" s="97">
        <v>700</v>
      </c>
      <c r="AZ22" s="98">
        <v>0.02</v>
      </c>
      <c r="BA22" s="63">
        <f t="shared" si="17"/>
        <v>14</v>
      </c>
      <c r="BB22" s="63">
        <v>1</v>
      </c>
      <c r="BC22" s="99">
        <f t="shared" si="19"/>
        <v>13</v>
      </c>
      <c r="BF22" s="112"/>
      <c r="BG22" s="112"/>
      <c r="BH22" s="113"/>
      <c r="BI22" s="116"/>
    </row>
    <row r="23" spans="1:61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1.6051364365971107E-3</v>
      </c>
      <c r="AM23" s="79">
        <f t="shared" ref="AM23:AW23" si="22">AM8/AM5</f>
        <v>1.7825311942959001E-3</v>
      </c>
      <c r="AN23" s="79">
        <f t="shared" si="22"/>
        <v>1.7094017094017094E-3</v>
      </c>
      <c r="AO23" s="79">
        <f t="shared" si="22"/>
        <v>2.4213075060532687E-2</v>
      </c>
      <c r="AP23" s="79">
        <f t="shared" si="22"/>
        <v>2.3148148148148147E-2</v>
      </c>
      <c r="AQ23" s="79">
        <f t="shared" si="22"/>
        <v>1.078167115902965E-2</v>
      </c>
      <c r="AR23" s="79">
        <f t="shared" si="22"/>
        <v>3.3333333333333335E-3</v>
      </c>
      <c r="AS23" s="79">
        <f t="shared" si="22"/>
        <v>0</v>
      </c>
      <c r="AT23" s="79">
        <f>AT8/AT5</f>
        <v>6.024096385542169E-3</v>
      </c>
      <c r="AU23" s="79">
        <f t="shared" si="22"/>
        <v>0</v>
      </c>
      <c r="AV23" s="79">
        <f t="shared" si="22"/>
        <v>0</v>
      </c>
      <c r="AW23" s="102">
        <f t="shared" si="22"/>
        <v>5.558643690939411E-3</v>
      </c>
      <c r="AY23" s="97">
        <v>800</v>
      </c>
      <c r="AZ23" s="98">
        <v>0.02</v>
      </c>
      <c r="BA23" s="63">
        <f t="shared" si="17"/>
        <v>16</v>
      </c>
      <c r="BB23" s="63">
        <v>1</v>
      </c>
      <c r="BC23" s="99">
        <f t="shared" si="19"/>
        <v>15</v>
      </c>
      <c r="BF23" s="112"/>
      <c r="BG23" s="112"/>
      <c r="BH23" s="113"/>
      <c r="BI23" s="112"/>
    </row>
    <row r="24" spans="1:61" ht="23.25">
      <c r="A24" s="53"/>
      <c r="B24" s="54">
        <v>46113</v>
      </c>
      <c r="C24" s="54">
        <v>46114</v>
      </c>
      <c r="D24" s="54">
        <v>46115</v>
      </c>
      <c r="E24" s="54">
        <v>46116</v>
      </c>
      <c r="F24" s="54">
        <v>46117</v>
      </c>
      <c r="G24" s="54">
        <v>46118</v>
      </c>
      <c r="H24" s="54">
        <v>46119</v>
      </c>
      <c r="I24" s="54">
        <v>46120</v>
      </c>
      <c r="J24" s="54">
        <v>46121</v>
      </c>
      <c r="K24" s="54">
        <v>46122</v>
      </c>
      <c r="L24" s="54">
        <v>46123</v>
      </c>
      <c r="M24" s="54">
        <v>46124</v>
      </c>
      <c r="N24" s="54">
        <v>46125</v>
      </c>
      <c r="O24" s="54">
        <v>46126</v>
      </c>
      <c r="P24" s="54">
        <v>46127</v>
      </c>
      <c r="Q24" s="54">
        <v>46128</v>
      </c>
      <c r="R24" s="54">
        <v>46129</v>
      </c>
      <c r="S24" s="54">
        <v>46130</v>
      </c>
      <c r="T24" s="54">
        <v>46131</v>
      </c>
      <c r="U24" s="54">
        <v>46132</v>
      </c>
      <c r="V24" s="54">
        <v>46133</v>
      </c>
      <c r="W24" s="54">
        <v>46134</v>
      </c>
      <c r="X24" s="54">
        <v>46135</v>
      </c>
      <c r="Y24" s="54">
        <v>46136</v>
      </c>
      <c r="Z24" s="54">
        <v>46137</v>
      </c>
      <c r="AA24" s="54">
        <v>46138</v>
      </c>
      <c r="AB24" s="54">
        <v>46139</v>
      </c>
      <c r="AC24" s="54">
        <v>46140</v>
      </c>
      <c r="AD24" s="54">
        <v>46141</v>
      </c>
      <c r="AE24" s="54">
        <v>46142</v>
      </c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79">
        <f>AL9/AL5</f>
        <v>2.5682182985553772E-2</v>
      </c>
      <c r="AM24" s="79">
        <f t="shared" ref="AM24:AW24" si="23">AM9/AM5</f>
        <v>2.1390374331550801E-2</v>
      </c>
      <c r="AN24" s="79">
        <f t="shared" si="23"/>
        <v>1.5384615384615385E-2</v>
      </c>
      <c r="AO24" s="79">
        <f t="shared" si="23"/>
        <v>1.2106537530266344E-2</v>
      </c>
      <c r="AP24" s="79">
        <f t="shared" si="23"/>
        <v>3.4722222222222224E-2</v>
      </c>
      <c r="AQ24" s="79">
        <f t="shared" si="23"/>
        <v>4.8517520215633422E-2</v>
      </c>
      <c r="AR24" s="79">
        <f t="shared" si="23"/>
        <v>0.13333333333333333</v>
      </c>
      <c r="AS24" s="79">
        <f t="shared" si="23"/>
        <v>0.10546875</v>
      </c>
      <c r="AT24" s="79">
        <f>AT9/AT5</f>
        <v>0.13253012048192772</v>
      </c>
      <c r="AU24" s="79">
        <f t="shared" si="23"/>
        <v>4.8361934477379097E-2</v>
      </c>
      <c r="AV24" s="79">
        <f t="shared" si="23"/>
        <v>2.0283975659229209E-2</v>
      </c>
      <c r="AW24" s="102">
        <f t="shared" si="23"/>
        <v>5.0398369464517326E-2</v>
      </c>
      <c r="AY24" s="97">
        <v>900</v>
      </c>
      <c r="AZ24" s="98">
        <v>0.02</v>
      </c>
      <c r="BA24" s="63">
        <f t="shared" si="17"/>
        <v>18</v>
      </c>
      <c r="BB24" s="63">
        <v>1</v>
      </c>
      <c r="BC24" s="99">
        <f t="shared" si="19"/>
        <v>17</v>
      </c>
      <c r="BF24" s="117"/>
      <c r="BG24" s="117"/>
      <c r="BH24" s="118"/>
      <c r="BI24" s="112"/>
    </row>
    <row r="25" spans="1:61" ht="24" thickBot="1">
      <c r="A25" s="55" t="s">
        <v>5</v>
      </c>
      <c r="B25" s="56">
        <v>38</v>
      </c>
      <c r="C25" s="56">
        <v>55</v>
      </c>
      <c r="D25" s="56">
        <v>39</v>
      </c>
      <c r="E25" s="56">
        <v>63</v>
      </c>
      <c r="F25" s="56">
        <v>31</v>
      </c>
      <c r="G25" s="56">
        <v>28</v>
      </c>
      <c r="H25" s="56">
        <v>22</v>
      </c>
      <c r="I25" s="56">
        <v>22</v>
      </c>
      <c r="J25" s="56">
        <v>18</v>
      </c>
      <c r="K25" s="56">
        <v>38</v>
      </c>
      <c r="L25" s="56">
        <v>30</v>
      </c>
      <c r="M25" s="56">
        <v>20</v>
      </c>
      <c r="N25" s="56">
        <v>24</v>
      </c>
      <c r="O25" s="56">
        <v>18</v>
      </c>
      <c r="P25" s="56">
        <v>31</v>
      </c>
      <c r="Q25" s="56">
        <v>19</v>
      </c>
      <c r="R25" s="56">
        <v>23</v>
      </c>
      <c r="S25" s="56">
        <v>50</v>
      </c>
      <c r="T25" s="56">
        <v>43</v>
      </c>
      <c r="U25" s="56">
        <v>27</v>
      </c>
      <c r="V25" s="56">
        <v>19</v>
      </c>
      <c r="W25" s="56">
        <v>23</v>
      </c>
      <c r="X25" s="56">
        <v>21</v>
      </c>
      <c r="Y25" s="56">
        <v>35</v>
      </c>
      <c r="Z25" s="56">
        <v>39</v>
      </c>
      <c r="AA25" s="56">
        <v>18</v>
      </c>
      <c r="AB25" s="56">
        <v>21</v>
      </c>
      <c r="AC25" s="56">
        <v>21</v>
      </c>
      <c r="AD25" s="56">
        <v>26</v>
      </c>
      <c r="AE25" s="56">
        <v>38</v>
      </c>
      <c r="AF25" s="56"/>
      <c r="AG25" s="63">
        <f>SUM(B25:AF25)</f>
        <v>900</v>
      </c>
      <c r="AH25" s="63"/>
      <c r="AI25" s="63">
        <f>AG25</f>
        <v>900</v>
      </c>
      <c r="AK25" s="77" t="s">
        <v>28</v>
      </c>
      <c r="AL25" s="79">
        <f t="shared" ref="AL25:AW28" si="24">AL10/AL6</f>
        <v>0</v>
      </c>
      <c r="AM25" s="79">
        <f t="shared" si="24"/>
        <v>0</v>
      </c>
      <c r="AN25" s="79">
        <f t="shared" si="24"/>
        <v>0</v>
      </c>
      <c r="AO25" s="79">
        <f t="shared" si="24"/>
        <v>0</v>
      </c>
      <c r="AP25" s="79">
        <f t="shared" si="24"/>
        <v>0</v>
      </c>
      <c r="AQ25" s="79">
        <f t="shared" si="24"/>
        <v>0</v>
      </c>
      <c r="AR25" s="79">
        <f t="shared" si="24"/>
        <v>0</v>
      </c>
      <c r="AS25" s="79">
        <f t="shared" si="24"/>
        <v>0</v>
      </c>
      <c r="AT25" s="79">
        <f>AT10/AT6</f>
        <v>0</v>
      </c>
      <c r="AU25" s="79">
        <f t="shared" si="24"/>
        <v>0</v>
      </c>
      <c r="AV25" s="79">
        <f t="shared" si="24"/>
        <v>0</v>
      </c>
      <c r="AW25" s="102">
        <f t="shared" si="24"/>
        <v>0</v>
      </c>
      <c r="AY25" s="103">
        <v>1000</v>
      </c>
      <c r="AZ25" s="104">
        <v>0.02</v>
      </c>
      <c r="BA25" s="105">
        <f t="shared" si="17"/>
        <v>20</v>
      </c>
      <c r="BB25" s="105">
        <v>1</v>
      </c>
      <c r="BC25" s="106">
        <f t="shared" si="19"/>
        <v>19</v>
      </c>
      <c r="BF25" s="117"/>
      <c r="BG25" s="117"/>
      <c r="BH25" s="118"/>
      <c r="BI25" s="114"/>
    </row>
    <row r="26" spans="1:61" ht="24" thickBot="1">
      <c r="A26" s="55" t="s">
        <v>21</v>
      </c>
      <c r="B26" s="56">
        <v>25</v>
      </c>
      <c r="C26" s="56">
        <v>41</v>
      </c>
      <c r="D26" s="56">
        <v>28</v>
      </c>
      <c r="E26" s="56">
        <v>42</v>
      </c>
      <c r="F26" s="56">
        <v>22</v>
      </c>
      <c r="G26" s="56">
        <v>12</v>
      </c>
      <c r="H26" s="56">
        <v>16</v>
      </c>
      <c r="I26" s="56">
        <v>14</v>
      </c>
      <c r="J26" s="56">
        <v>15</v>
      </c>
      <c r="K26" s="56">
        <v>29</v>
      </c>
      <c r="L26" s="56">
        <v>20</v>
      </c>
      <c r="M26" s="56">
        <v>11</v>
      </c>
      <c r="N26" s="56">
        <v>17</v>
      </c>
      <c r="O26" s="56">
        <v>13</v>
      </c>
      <c r="P26" s="56">
        <v>19</v>
      </c>
      <c r="Q26" s="56">
        <v>13</v>
      </c>
      <c r="R26" s="56">
        <v>18</v>
      </c>
      <c r="S26" s="56">
        <v>36</v>
      </c>
      <c r="T26" s="56">
        <v>20</v>
      </c>
      <c r="U26" s="56">
        <v>9</v>
      </c>
      <c r="V26" s="56">
        <v>12</v>
      </c>
      <c r="W26" s="56">
        <v>13</v>
      </c>
      <c r="X26" s="56">
        <v>13</v>
      </c>
      <c r="Y26" s="56">
        <v>21</v>
      </c>
      <c r="Z26" s="56">
        <v>28</v>
      </c>
      <c r="AA26" s="56">
        <v>11</v>
      </c>
      <c r="AB26" s="56">
        <v>11</v>
      </c>
      <c r="AC26" s="56">
        <v>13</v>
      </c>
      <c r="AD26" s="56">
        <v>21</v>
      </c>
      <c r="AE26" s="56">
        <v>22</v>
      </c>
      <c r="AF26" s="56"/>
      <c r="AG26" s="63">
        <f t="shared" ref="AG26:AG33" si="25">SUM(B26:AF26)</f>
        <v>585</v>
      </c>
      <c r="AH26" s="63"/>
      <c r="AI26" s="63">
        <f>AG26+AH28+AH29+AH30</f>
        <v>585</v>
      </c>
      <c r="AK26" s="77" t="s">
        <v>29</v>
      </c>
      <c r="AL26" s="79">
        <f t="shared" si="24"/>
        <v>0</v>
      </c>
      <c r="AM26" s="79">
        <f t="shared" si="24"/>
        <v>0</v>
      </c>
      <c r="AN26" s="79">
        <f t="shared" si="24"/>
        <v>0</v>
      </c>
      <c r="AO26" s="79">
        <f t="shared" si="24"/>
        <v>0</v>
      </c>
      <c r="AP26" s="79">
        <f t="shared" si="24"/>
        <v>0</v>
      </c>
      <c r="AQ26" s="79">
        <f t="shared" si="24"/>
        <v>0</v>
      </c>
      <c r="AR26" s="79">
        <f t="shared" si="24"/>
        <v>0</v>
      </c>
      <c r="AS26" s="79">
        <f t="shared" si="24"/>
        <v>0</v>
      </c>
      <c r="AT26" s="79">
        <f t="shared" si="24"/>
        <v>0</v>
      </c>
      <c r="AU26" s="79">
        <f t="shared" si="24"/>
        <v>0</v>
      </c>
      <c r="AV26" s="79">
        <f t="shared" si="24"/>
        <v>0</v>
      </c>
      <c r="AW26" s="102">
        <f t="shared" si="24"/>
        <v>0</v>
      </c>
      <c r="AY26" s="63"/>
      <c r="AZ26" s="63"/>
      <c r="BA26" s="63"/>
      <c r="BB26" s="63"/>
      <c r="BC26" s="63"/>
      <c r="BF26" s="117"/>
      <c r="BG26" s="117"/>
      <c r="BH26" s="118"/>
      <c r="BI26" s="119"/>
    </row>
    <row r="27" spans="1:61" ht="24" thickBot="1">
      <c r="A27" s="55" t="s">
        <v>22</v>
      </c>
      <c r="B27" s="125">
        <v>25</v>
      </c>
      <c r="C27" s="125">
        <v>39</v>
      </c>
      <c r="D27" s="125">
        <v>28</v>
      </c>
      <c r="E27" s="125">
        <v>40</v>
      </c>
      <c r="F27" s="125">
        <v>22</v>
      </c>
      <c r="G27" s="125">
        <v>12</v>
      </c>
      <c r="H27" s="125">
        <v>14</v>
      </c>
      <c r="I27" s="125">
        <v>14</v>
      </c>
      <c r="J27" s="125">
        <v>13</v>
      </c>
      <c r="K27" s="125">
        <v>28</v>
      </c>
      <c r="L27" s="125">
        <v>18</v>
      </c>
      <c r="M27" s="125">
        <v>11</v>
      </c>
      <c r="N27" s="125">
        <v>16</v>
      </c>
      <c r="O27" s="125">
        <v>13</v>
      </c>
      <c r="P27" s="125">
        <v>17</v>
      </c>
      <c r="Q27" s="125">
        <v>12</v>
      </c>
      <c r="R27" s="125">
        <v>17</v>
      </c>
      <c r="S27" s="125">
        <v>35</v>
      </c>
      <c r="T27" s="125">
        <v>19</v>
      </c>
      <c r="U27" s="125">
        <v>9</v>
      </c>
      <c r="V27" s="125">
        <v>9</v>
      </c>
      <c r="W27" s="125">
        <v>11</v>
      </c>
      <c r="X27" s="125">
        <v>13</v>
      </c>
      <c r="Y27" s="125">
        <v>21</v>
      </c>
      <c r="Z27" s="125">
        <v>27</v>
      </c>
      <c r="AA27" s="125">
        <v>11</v>
      </c>
      <c r="AB27" s="125">
        <v>11</v>
      </c>
      <c r="AC27" s="125">
        <v>13</v>
      </c>
      <c r="AD27" s="125">
        <v>20</v>
      </c>
      <c r="AE27" s="125">
        <v>21</v>
      </c>
      <c r="AF27" s="56"/>
      <c r="AG27" s="63">
        <f t="shared" si="25"/>
        <v>559</v>
      </c>
      <c r="AH27" s="63"/>
      <c r="AI27" s="63">
        <f>AG27+AH28+AH29+AH30</f>
        <v>559</v>
      </c>
      <c r="AK27" s="77" t="s">
        <v>31</v>
      </c>
      <c r="AL27" s="79">
        <f t="shared" si="24"/>
        <v>0</v>
      </c>
      <c r="AM27" s="79">
        <f t="shared" si="24"/>
        <v>0</v>
      </c>
      <c r="AN27" s="79">
        <f t="shared" si="24"/>
        <v>0</v>
      </c>
      <c r="AO27" s="79">
        <f t="shared" si="24"/>
        <v>0</v>
      </c>
      <c r="AP27" s="79">
        <f t="shared" si="24"/>
        <v>0</v>
      </c>
      <c r="AQ27" s="79">
        <f t="shared" si="24"/>
        <v>0</v>
      </c>
      <c r="AR27" s="79">
        <f t="shared" si="24"/>
        <v>0</v>
      </c>
      <c r="AS27" s="79" t="e">
        <f t="shared" si="24"/>
        <v>#DIV/0!</v>
      </c>
      <c r="AT27" s="79">
        <f t="shared" si="24"/>
        <v>0</v>
      </c>
      <c r="AU27" s="79" t="e">
        <f t="shared" si="24"/>
        <v>#DIV/0!</v>
      </c>
      <c r="AV27" s="79" t="e">
        <f>AV12/AV8</f>
        <v>#DIV/0!</v>
      </c>
      <c r="AW27" s="102">
        <f>AW12/AW8</f>
        <v>0</v>
      </c>
      <c r="AY27" s="108" t="s">
        <v>44</v>
      </c>
      <c r="AZ27" s="271" t="s">
        <v>45</v>
      </c>
      <c r="BA27" s="272"/>
      <c r="BB27" s="63"/>
      <c r="BC27" s="63"/>
      <c r="BF27" s="117"/>
      <c r="BG27" s="117"/>
      <c r="BH27" s="118"/>
      <c r="BI27" s="114"/>
    </row>
    <row r="28" spans="1:61" ht="23.25">
      <c r="A28" s="55" t="s">
        <v>23</v>
      </c>
      <c r="B28" s="125">
        <v>0</v>
      </c>
      <c r="C28" s="125">
        <v>1</v>
      </c>
      <c r="D28" s="125">
        <v>0</v>
      </c>
      <c r="E28" s="125">
        <v>2</v>
      </c>
      <c r="F28" s="125">
        <v>0</v>
      </c>
      <c r="G28" s="125">
        <v>0</v>
      </c>
      <c r="H28" s="125">
        <v>2</v>
      </c>
      <c r="I28" s="125">
        <v>0</v>
      </c>
      <c r="J28" s="125">
        <v>1</v>
      </c>
      <c r="K28" s="125">
        <v>1</v>
      </c>
      <c r="L28" s="125">
        <v>1</v>
      </c>
      <c r="M28" s="125">
        <v>0</v>
      </c>
      <c r="N28" s="125">
        <v>1</v>
      </c>
      <c r="O28" s="125">
        <v>0</v>
      </c>
      <c r="P28" s="125">
        <v>0</v>
      </c>
      <c r="Q28" s="125">
        <v>0</v>
      </c>
      <c r="R28" s="125">
        <v>0</v>
      </c>
      <c r="S28" s="125">
        <v>0</v>
      </c>
      <c r="T28" s="125">
        <v>1</v>
      </c>
      <c r="U28" s="125">
        <v>0</v>
      </c>
      <c r="V28" s="125">
        <v>1</v>
      </c>
      <c r="W28" s="125">
        <v>2</v>
      </c>
      <c r="X28" s="125">
        <v>0</v>
      </c>
      <c r="Y28" s="125">
        <v>0</v>
      </c>
      <c r="Z28" s="125">
        <v>1</v>
      </c>
      <c r="AA28" s="125">
        <v>0</v>
      </c>
      <c r="AB28" s="125">
        <v>0</v>
      </c>
      <c r="AC28" s="125">
        <v>0</v>
      </c>
      <c r="AD28" s="125">
        <v>1</v>
      </c>
      <c r="AE28" s="125">
        <v>1</v>
      </c>
      <c r="AF28" s="56"/>
      <c r="AG28" s="63">
        <f t="shared" si="25"/>
        <v>16</v>
      </c>
      <c r="AH28" s="63"/>
      <c r="AI28" s="63">
        <f t="shared" ref="AI28:AI33" si="26">AG28-AH28</f>
        <v>16</v>
      </c>
      <c r="AK28" s="80" t="s">
        <v>34</v>
      </c>
      <c r="AL28" s="81">
        <f>AL13/AL9</f>
        <v>1.0625</v>
      </c>
      <c r="AM28" s="81">
        <f t="shared" si="24"/>
        <v>1.75</v>
      </c>
      <c r="AN28" s="81">
        <f t="shared" si="24"/>
        <v>2.7777777777777777</v>
      </c>
      <c r="AO28" s="81">
        <f t="shared" si="24"/>
        <v>4.4000000000000004</v>
      </c>
      <c r="AP28" s="81">
        <f t="shared" si="24"/>
        <v>1.2666666666666666</v>
      </c>
      <c r="AQ28" s="81">
        <f t="shared" si="24"/>
        <v>1.2222222222222223</v>
      </c>
      <c r="AR28" s="81">
        <f t="shared" si="24"/>
        <v>1.1125</v>
      </c>
      <c r="AS28" s="81">
        <f t="shared" si="24"/>
        <v>1.1111111111111112</v>
      </c>
      <c r="AT28" s="81">
        <f t="shared" si="24"/>
        <v>1.1818181818181819</v>
      </c>
      <c r="AU28" s="81">
        <f t="shared" si="24"/>
        <v>1.1935483870967742</v>
      </c>
      <c r="AV28" s="81">
        <f t="shared" si="24"/>
        <v>1.3</v>
      </c>
      <c r="AW28" s="107">
        <f t="shared" si="24"/>
        <v>1.2904411764705883</v>
      </c>
      <c r="AY28" s="97" t="s">
        <v>46</v>
      </c>
      <c r="AZ28" s="273">
        <v>100</v>
      </c>
      <c r="BA28" s="274"/>
      <c r="BB28" s="109"/>
      <c r="BC28" s="109"/>
      <c r="BF28" s="112"/>
      <c r="BG28" s="112"/>
      <c r="BH28" s="113"/>
      <c r="BI28" s="112"/>
    </row>
    <row r="29" spans="1:61" ht="21.75" thickBot="1">
      <c r="A29" s="55" t="s">
        <v>24</v>
      </c>
      <c r="B29" s="125">
        <v>0</v>
      </c>
      <c r="C29" s="125">
        <v>0</v>
      </c>
      <c r="D29" s="125">
        <v>0</v>
      </c>
      <c r="E29" s="125">
        <v>0</v>
      </c>
      <c r="F29" s="125">
        <v>0</v>
      </c>
      <c r="G29" s="125">
        <v>0</v>
      </c>
      <c r="H29" s="125">
        <v>0</v>
      </c>
      <c r="I29" s="125">
        <v>0</v>
      </c>
      <c r="J29" s="125">
        <v>0</v>
      </c>
      <c r="K29" s="125">
        <v>0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1</v>
      </c>
      <c r="S29" s="125">
        <v>0</v>
      </c>
      <c r="T29" s="125">
        <v>0</v>
      </c>
      <c r="U29" s="125">
        <v>0</v>
      </c>
      <c r="V29" s="125">
        <v>0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125">
        <v>0</v>
      </c>
      <c r="AE29" s="125">
        <v>0</v>
      </c>
      <c r="AF29" s="56"/>
      <c r="AG29" s="63">
        <f t="shared" si="25"/>
        <v>1</v>
      </c>
      <c r="AH29" s="63"/>
      <c r="AI29" s="63">
        <f t="shared" si="26"/>
        <v>1</v>
      </c>
      <c r="AR29" s="82"/>
      <c r="AS29" s="83"/>
      <c r="AT29" s="83"/>
      <c r="AU29" s="82"/>
      <c r="AV29" s="82"/>
      <c r="AY29" s="103" t="s">
        <v>47</v>
      </c>
      <c r="AZ29" s="275">
        <v>50</v>
      </c>
      <c r="BA29" s="276"/>
      <c r="BB29" s="63"/>
      <c r="BC29" s="63"/>
      <c r="BF29" s="112"/>
      <c r="BG29" s="112"/>
      <c r="BH29" s="113"/>
      <c r="BI29" s="114"/>
    </row>
    <row r="30" spans="1:61" ht="21">
      <c r="A30" s="55" t="s">
        <v>26</v>
      </c>
      <c r="B30" s="125">
        <v>0</v>
      </c>
      <c r="C30" s="125">
        <v>1</v>
      </c>
      <c r="D30" s="125">
        <v>0</v>
      </c>
      <c r="E30" s="125">
        <v>0</v>
      </c>
      <c r="F30" s="125">
        <v>0</v>
      </c>
      <c r="G30" s="125">
        <v>0</v>
      </c>
      <c r="H30" s="125">
        <v>0</v>
      </c>
      <c r="I30" s="125">
        <v>0</v>
      </c>
      <c r="J30" s="125">
        <v>1</v>
      </c>
      <c r="K30" s="125">
        <v>0</v>
      </c>
      <c r="L30" s="125">
        <v>1</v>
      </c>
      <c r="M30" s="125">
        <v>0</v>
      </c>
      <c r="N30" s="125">
        <v>0</v>
      </c>
      <c r="O30" s="125">
        <v>0</v>
      </c>
      <c r="P30" s="125">
        <v>2</v>
      </c>
      <c r="Q30" s="125">
        <v>1</v>
      </c>
      <c r="R30" s="125">
        <v>0</v>
      </c>
      <c r="S30" s="125">
        <v>1</v>
      </c>
      <c r="T30" s="125">
        <v>0</v>
      </c>
      <c r="U30" s="125">
        <v>0</v>
      </c>
      <c r="V30" s="125">
        <v>2</v>
      </c>
      <c r="W30" s="125">
        <v>0</v>
      </c>
      <c r="X30" s="125">
        <v>0</v>
      </c>
      <c r="Y30" s="125">
        <v>0</v>
      </c>
      <c r="Z30" s="125">
        <v>0</v>
      </c>
      <c r="AA30" s="125">
        <v>0</v>
      </c>
      <c r="AB30" s="125">
        <v>0</v>
      </c>
      <c r="AC30" s="125">
        <v>0</v>
      </c>
      <c r="AD30" s="125">
        <v>0</v>
      </c>
      <c r="AE30" s="125">
        <v>0</v>
      </c>
      <c r="AF30" s="56"/>
      <c r="AG30" s="63">
        <f t="shared" si="25"/>
        <v>9</v>
      </c>
      <c r="AH30" s="63"/>
      <c r="AI30" s="63">
        <f t="shared" si="26"/>
        <v>9</v>
      </c>
      <c r="AN30" s="82"/>
      <c r="BF30" s="112"/>
      <c r="BG30" s="112"/>
      <c r="BH30" s="113"/>
      <c r="BI30" s="114"/>
    </row>
    <row r="31" spans="1:61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5"/>
        <v>0</v>
      </c>
      <c r="AH31" s="70"/>
      <c r="AI31" s="63">
        <f t="shared" si="26"/>
        <v>0</v>
      </c>
      <c r="AO31" s="82"/>
      <c r="BF31" s="112"/>
      <c r="BG31" s="112"/>
      <c r="BH31" s="113"/>
      <c r="BI31" s="114"/>
    </row>
    <row r="32" spans="1:61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5"/>
        <v>0</v>
      </c>
      <c r="AH32" s="71"/>
      <c r="AI32" s="63">
        <f t="shared" si="26"/>
        <v>0</v>
      </c>
      <c r="AN32" s="82"/>
      <c r="BF32" s="112"/>
      <c r="BG32" s="112"/>
      <c r="BH32" s="113"/>
      <c r="BI32" s="112"/>
    </row>
    <row r="33" spans="1:61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5"/>
        <v>0</v>
      </c>
      <c r="AH33" s="63"/>
      <c r="AI33" s="63">
        <f t="shared" si="26"/>
        <v>0</v>
      </c>
      <c r="AM33" s="82"/>
      <c r="BF33" s="112"/>
      <c r="BG33" s="112"/>
      <c r="BH33" s="113"/>
      <c r="BI33" s="114"/>
    </row>
    <row r="34" spans="1:61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F34" s="112"/>
      <c r="BG34" s="112"/>
      <c r="BH34" s="113"/>
      <c r="BI34" s="114"/>
    </row>
    <row r="35" spans="1:61" ht="21">
      <c r="A35" s="53"/>
      <c r="B35" s="54">
        <v>46113</v>
      </c>
      <c r="C35" s="54">
        <v>46114</v>
      </c>
      <c r="D35" s="54">
        <v>46115</v>
      </c>
      <c r="E35" s="54">
        <v>46116</v>
      </c>
      <c r="F35" s="54">
        <v>46117</v>
      </c>
      <c r="G35" s="54">
        <v>46118</v>
      </c>
      <c r="H35" s="54">
        <v>46119</v>
      </c>
      <c r="I35" s="54">
        <v>46120</v>
      </c>
      <c r="J35" s="54">
        <v>46121</v>
      </c>
      <c r="K35" s="54">
        <v>46122</v>
      </c>
      <c r="L35" s="54">
        <v>46123</v>
      </c>
      <c r="M35" s="54">
        <v>46124</v>
      </c>
      <c r="N35" s="54">
        <v>46125</v>
      </c>
      <c r="O35" s="54">
        <v>46126</v>
      </c>
      <c r="P35" s="54">
        <v>46127</v>
      </c>
      <c r="Q35" s="54">
        <v>46128</v>
      </c>
      <c r="R35" s="54">
        <v>46129</v>
      </c>
      <c r="S35" s="54">
        <v>46130</v>
      </c>
      <c r="T35" s="54">
        <v>46131</v>
      </c>
      <c r="U35" s="54">
        <v>46132</v>
      </c>
      <c r="V35" s="54">
        <v>46133</v>
      </c>
      <c r="W35" s="54">
        <v>46134</v>
      </c>
      <c r="X35" s="54">
        <v>46135</v>
      </c>
      <c r="Y35" s="54">
        <v>46136</v>
      </c>
      <c r="Z35" s="54">
        <v>46137</v>
      </c>
      <c r="AA35" s="54">
        <v>46138</v>
      </c>
      <c r="AB35" s="54">
        <v>46139</v>
      </c>
      <c r="AC35" s="54">
        <v>46140</v>
      </c>
      <c r="AD35" s="54">
        <v>46141</v>
      </c>
      <c r="AE35" s="54">
        <v>46142</v>
      </c>
      <c r="AF35" s="54"/>
      <c r="AG35" s="61" t="s">
        <v>2</v>
      </c>
      <c r="AH35" s="61" t="s">
        <v>49</v>
      </c>
      <c r="AI35" s="62" t="s">
        <v>50</v>
      </c>
      <c r="AM35" s="82"/>
      <c r="BF35" s="112"/>
      <c r="BG35" s="112"/>
      <c r="BH35" s="113"/>
      <c r="BI35" s="116"/>
    </row>
    <row r="36" spans="1:61" ht="21">
      <c r="A36" s="55" t="s">
        <v>5</v>
      </c>
      <c r="B36" s="56">
        <v>28</v>
      </c>
      <c r="C36" s="56">
        <v>26</v>
      </c>
      <c r="D36" s="56">
        <v>26</v>
      </c>
      <c r="E36" s="56">
        <v>28</v>
      </c>
      <c r="F36" s="56">
        <v>17</v>
      </c>
      <c r="G36" s="56">
        <v>18</v>
      </c>
      <c r="H36" s="56">
        <v>8</v>
      </c>
      <c r="I36" s="56">
        <v>16</v>
      </c>
      <c r="J36" s="56">
        <v>13</v>
      </c>
      <c r="K36" s="56">
        <v>20</v>
      </c>
      <c r="L36" s="56">
        <v>20</v>
      </c>
      <c r="M36" s="56">
        <v>13</v>
      </c>
      <c r="N36" s="56">
        <v>10</v>
      </c>
      <c r="O36" s="56">
        <v>16</v>
      </c>
      <c r="P36" s="56">
        <v>17</v>
      </c>
      <c r="Q36" s="56">
        <v>16</v>
      </c>
      <c r="R36" s="56">
        <v>19</v>
      </c>
      <c r="S36" s="56">
        <v>28</v>
      </c>
      <c r="T36" s="56">
        <v>20</v>
      </c>
      <c r="U36" s="56">
        <v>11</v>
      </c>
      <c r="V36" s="56">
        <v>15</v>
      </c>
      <c r="W36" s="56">
        <v>13</v>
      </c>
      <c r="X36" s="56">
        <v>12</v>
      </c>
      <c r="Y36" s="56">
        <v>15</v>
      </c>
      <c r="Z36" s="56">
        <v>31</v>
      </c>
      <c r="AA36" s="56">
        <v>14</v>
      </c>
      <c r="AB36" s="56">
        <v>16</v>
      </c>
      <c r="AC36" s="56">
        <v>18</v>
      </c>
      <c r="AD36" s="56">
        <v>16</v>
      </c>
      <c r="AE36" s="56">
        <v>25</v>
      </c>
      <c r="AF36" s="56"/>
      <c r="AG36" s="63">
        <f>SUM(B36:AF36)</f>
        <v>545</v>
      </c>
      <c r="AH36" s="63"/>
      <c r="AI36" s="63">
        <f>AG36</f>
        <v>545</v>
      </c>
      <c r="AN36" s="82"/>
      <c r="BF36" s="112"/>
      <c r="BG36" s="112"/>
      <c r="BH36" s="113"/>
      <c r="BI36" s="116"/>
    </row>
    <row r="37" spans="1:61" ht="21">
      <c r="A37" s="55" t="s">
        <v>21</v>
      </c>
      <c r="B37" s="56">
        <v>23</v>
      </c>
      <c r="C37" s="56">
        <v>19</v>
      </c>
      <c r="D37" s="56">
        <v>21</v>
      </c>
      <c r="E37" s="56">
        <v>22</v>
      </c>
      <c r="F37" s="56">
        <v>12</v>
      </c>
      <c r="G37" s="56">
        <v>13</v>
      </c>
      <c r="H37" s="56">
        <v>6</v>
      </c>
      <c r="I37" s="56">
        <v>10</v>
      </c>
      <c r="J37" s="56">
        <v>8</v>
      </c>
      <c r="K37" s="56">
        <v>14</v>
      </c>
      <c r="L37" s="56">
        <v>19</v>
      </c>
      <c r="M37" s="56">
        <v>12</v>
      </c>
      <c r="N37" s="56">
        <v>6</v>
      </c>
      <c r="O37" s="56">
        <v>10</v>
      </c>
      <c r="P37" s="56">
        <v>13</v>
      </c>
      <c r="Q37" s="56">
        <v>13</v>
      </c>
      <c r="R37" s="56">
        <v>15</v>
      </c>
      <c r="S37" s="56">
        <v>22</v>
      </c>
      <c r="T37" s="56">
        <v>15</v>
      </c>
      <c r="U37" s="56">
        <v>9</v>
      </c>
      <c r="V37" s="56">
        <v>7</v>
      </c>
      <c r="W37" s="56">
        <v>10</v>
      </c>
      <c r="X37" s="56">
        <v>9</v>
      </c>
      <c r="Y37" s="56">
        <v>8</v>
      </c>
      <c r="Z37" s="56">
        <v>27</v>
      </c>
      <c r="AA37" s="56">
        <v>14</v>
      </c>
      <c r="AB37" s="56">
        <v>14</v>
      </c>
      <c r="AC37" s="56">
        <v>12</v>
      </c>
      <c r="AD37" s="56">
        <v>13</v>
      </c>
      <c r="AE37" s="56">
        <v>17</v>
      </c>
      <c r="AF37" s="56"/>
      <c r="AG37" s="63">
        <f t="shared" ref="AG37:AG44" si="27">SUM(B37:AF37)</f>
        <v>413</v>
      </c>
      <c r="AH37" s="63"/>
      <c r="AI37" s="63">
        <f>AG37+AH39+AH40+AH41</f>
        <v>413</v>
      </c>
      <c r="AM37" s="82"/>
      <c r="AO37" s="82"/>
      <c r="BF37" s="112"/>
      <c r="BG37" s="112"/>
      <c r="BH37" s="113"/>
      <c r="BI37" s="116"/>
    </row>
    <row r="38" spans="1:61" ht="21">
      <c r="A38" s="55" t="s">
        <v>22</v>
      </c>
      <c r="B38" s="125">
        <v>20</v>
      </c>
      <c r="C38" s="125">
        <v>17</v>
      </c>
      <c r="D38" s="125">
        <v>20</v>
      </c>
      <c r="E38" s="125">
        <v>21</v>
      </c>
      <c r="F38" s="125">
        <v>11</v>
      </c>
      <c r="G38" s="125">
        <v>12</v>
      </c>
      <c r="H38" s="125">
        <v>4</v>
      </c>
      <c r="I38" s="125">
        <v>9</v>
      </c>
      <c r="J38" s="125">
        <v>6</v>
      </c>
      <c r="K38" s="125">
        <v>14</v>
      </c>
      <c r="L38" s="125">
        <v>19</v>
      </c>
      <c r="M38" s="125">
        <v>12</v>
      </c>
      <c r="N38" s="125">
        <v>6</v>
      </c>
      <c r="O38" s="125">
        <v>9</v>
      </c>
      <c r="P38" s="125">
        <v>13</v>
      </c>
      <c r="Q38" s="125">
        <v>11</v>
      </c>
      <c r="R38" s="125">
        <v>14</v>
      </c>
      <c r="S38" s="125">
        <v>21</v>
      </c>
      <c r="T38" s="125">
        <v>15</v>
      </c>
      <c r="U38" s="125">
        <v>7</v>
      </c>
      <c r="V38" s="125">
        <v>6</v>
      </c>
      <c r="W38" s="125">
        <v>7</v>
      </c>
      <c r="X38" s="125">
        <v>9</v>
      </c>
      <c r="Y38" s="125">
        <v>8</v>
      </c>
      <c r="Z38" s="125">
        <v>25</v>
      </c>
      <c r="AA38" s="125">
        <v>12</v>
      </c>
      <c r="AB38" s="125">
        <v>14</v>
      </c>
      <c r="AC38" s="125">
        <v>11</v>
      </c>
      <c r="AD38" s="125">
        <v>12</v>
      </c>
      <c r="AE38" s="125">
        <v>16</v>
      </c>
      <c r="AF38" s="56"/>
      <c r="AG38" s="63">
        <f t="shared" si="27"/>
        <v>381</v>
      </c>
      <c r="AH38" s="63"/>
      <c r="AI38" s="63">
        <f>AG38+AH39+AH40+AH41</f>
        <v>381</v>
      </c>
      <c r="AM38" s="82"/>
      <c r="BF38" s="112"/>
      <c r="BG38" s="112"/>
      <c r="BH38" s="116"/>
      <c r="BI38" s="114"/>
    </row>
    <row r="39" spans="1:61" ht="21">
      <c r="A39" s="55" t="s">
        <v>23</v>
      </c>
      <c r="B39" s="125">
        <v>0</v>
      </c>
      <c r="C39" s="125">
        <v>1</v>
      </c>
      <c r="D39" s="125">
        <v>0</v>
      </c>
      <c r="E39" s="125">
        <v>0</v>
      </c>
      <c r="F39" s="125">
        <v>1</v>
      </c>
      <c r="G39" s="125">
        <v>1</v>
      </c>
      <c r="H39" s="125">
        <v>1</v>
      </c>
      <c r="I39" s="125">
        <v>1</v>
      </c>
      <c r="J39" s="125">
        <v>1</v>
      </c>
      <c r="K39" s="125">
        <v>0</v>
      </c>
      <c r="L39" s="125">
        <v>0</v>
      </c>
      <c r="M39" s="125">
        <v>0</v>
      </c>
      <c r="N39" s="125">
        <v>0</v>
      </c>
      <c r="O39" s="125">
        <v>1</v>
      </c>
      <c r="P39" s="125">
        <v>0</v>
      </c>
      <c r="Q39" s="125">
        <v>2</v>
      </c>
      <c r="R39" s="125">
        <v>1</v>
      </c>
      <c r="S39" s="125">
        <v>0</v>
      </c>
      <c r="T39" s="125">
        <v>0</v>
      </c>
      <c r="U39" s="125">
        <v>1</v>
      </c>
      <c r="V39" s="125">
        <v>0</v>
      </c>
      <c r="W39" s="125">
        <v>2</v>
      </c>
      <c r="X39" s="125">
        <v>0</v>
      </c>
      <c r="Y39" s="125">
        <v>0</v>
      </c>
      <c r="Z39" s="125">
        <v>1</v>
      </c>
      <c r="AA39" s="125">
        <v>1</v>
      </c>
      <c r="AB39" s="125">
        <v>0</v>
      </c>
      <c r="AC39" s="125">
        <v>0</v>
      </c>
      <c r="AD39" s="125">
        <v>1</v>
      </c>
      <c r="AE39" s="125">
        <v>1</v>
      </c>
      <c r="AF39" s="56"/>
      <c r="AG39" s="63">
        <f t="shared" si="27"/>
        <v>17</v>
      </c>
      <c r="AH39" s="63"/>
      <c r="AI39" s="63">
        <f t="shared" ref="AI39:AI44" si="28">AG39-AH39</f>
        <v>17</v>
      </c>
      <c r="AM39" s="82"/>
    </row>
    <row r="40" spans="1:61" ht="21">
      <c r="A40" s="55" t="s">
        <v>24</v>
      </c>
      <c r="B40" s="125">
        <v>1</v>
      </c>
      <c r="C40" s="125">
        <v>0</v>
      </c>
      <c r="D40" s="125">
        <v>1</v>
      </c>
      <c r="E40" s="125">
        <v>1</v>
      </c>
      <c r="F40" s="125">
        <v>0</v>
      </c>
      <c r="G40" s="125">
        <v>0</v>
      </c>
      <c r="H40" s="125">
        <v>1</v>
      </c>
      <c r="I40" s="125">
        <v>0</v>
      </c>
      <c r="J40" s="125">
        <v>1</v>
      </c>
      <c r="K40" s="125">
        <v>0</v>
      </c>
      <c r="L40" s="125">
        <v>0</v>
      </c>
      <c r="M40" s="125">
        <v>0</v>
      </c>
      <c r="N40" s="125">
        <v>0</v>
      </c>
      <c r="O40" s="125">
        <v>0</v>
      </c>
      <c r="P40" s="125">
        <v>0</v>
      </c>
      <c r="Q40" s="125">
        <v>0</v>
      </c>
      <c r="R40" s="125">
        <v>0</v>
      </c>
      <c r="S40" s="125">
        <v>0</v>
      </c>
      <c r="T40" s="125">
        <v>0</v>
      </c>
      <c r="U40" s="125">
        <v>1</v>
      </c>
      <c r="V40" s="125">
        <v>1</v>
      </c>
      <c r="W40" s="125">
        <v>1</v>
      </c>
      <c r="X40" s="125">
        <v>0</v>
      </c>
      <c r="Y40" s="125">
        <v>0</v>
      </c>
      <c r="Z40" s="125">
        <v>0</v>
      </c>
      <c r="AA40" s="125">
        <v>1</v>
      </c>
      <c r="AB40" s="125">
        <v>0</v>
      </c>
      <c r="AC40" s="125">
        <v>1</v>
      </c>
      <c r="AD40" s="125">
        <v>0</v>
      </c>
      <c r="AE40" s="125">
        <v>0</v>
      </c>
      <c r="AF40" s="56"/>
      <c r="AG40" s="63">
        <f t="shared" si="27"/>
        <v>10</v>
      </c>
      <c r="AH40" s="63"/>
      <c r="AI40" s="63">
        <f t="shared" si="28"/>
        <v>10</v>
      </c>
      <c r="AN40" s="82"/>
    </row>
    <row r="41" spans="1:61" ht="21">
      <c r="A41" s="55" t="s">
        <v>26</v>
      </c>
      <c r="B41" s="125">
        <v>2</v>
      </c>
      <c r="C41" s="125">
        <v>1</v>
      </c>
      <c r="D41" s="125">
        <v>0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0</v>
      </c>
      <c r="K41" s="125">
        <v>0</v>
      </c>
      <c r="L41" s="125">
        <v>0</v>
      </c>
      <c r="M41" s="125">
        <v>0</v>
      </c>
      <c r="N41" s="125">
        <v>0</v>
      </c>
      <c r="O41" s="125">
        <v>0</v>
      </c>
      <c r="P41" s="125">
        <v>0</v>
      </c>
      <c r="Q41" s="125">
        <v>0</v>
      </c>
      <c r="R41" s="125">
        <v>0</v>
      </c>
      <c r="S41" s="125">
        <v>1</v>
      </c>
      <c r="T41" s="125">
        <v>0</v>
      </c>
      <c r="U41" s="125">
        <v>0</v>
      </c>
      <c r="V41" s="125">
        <v>0</v>
      </c>
      <c r="W41" s="125">
        <v>0</v>
      </c>
      <c r="X41" s="125">
        <v>0</v>
      </c>
      <c r="Y41" s="125">
        <v>0</v>
      </c>
      <c r="Z41" s="125">
        <v>1</v>
      </c>
      <c r="AA41" s="125">
        <v>0</v>
      </c>
      <c r="AB41" s="125">
        <v>0</v>
      </c>
      <c r="AC41" s="125">
        <v>0</v>
      </c>
      <c r="AD41" s="125">
        <v>0</v>
      </c>
      <c r="AE41" s="125">
        <v>0</v>
      </c>
      <c r="AF41" s="56"/>
      <c r="AG41" s="63">
        <f t="shared" si="27"/>
        <v>5</v>
      </c>
      <c r="AH41" s="63"/>
      <c r="AI41" s="63">
        <f t="shared" si="28"/>
        <v>5</v>
      </c>
    </row>
    <row r="42" spans="1:61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7"/>
        <v>0</v>
      </c>
      <c r="AH42" s="70"/>
      <c r="AI42" s="63">
        <f t="shared" si="28"/>
        <v>0</v>
      </c>
    </row>
    <row r="43" spans="1:61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7"/>
        <v>0</v>
      </c>
      <c r="AH43" s="71"/>
      <c r="AI43" s="63">
        <f t="shared" si="28"/>
        <v>0</v>
      </c>
    </row>
    <row r="44" spans="1:61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7"/>
        <v>0</v>
      </c>
      <c r="AH44" s="63"/>
      <c r="AI44" s="63">
        <f t="shared" si="28"/>
        <v>0</v>
      </c>
    </row>
    <row r="45" spans="1:61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1" ht="21">
      <c r="A46" s="53"/>
      <c r="B46" s="54">
        <v>46113</v>
      </c>
      <c r="C46" s="54">
        <v>46114</v>
      </c>
      <c r="D46" s="54">
        <v>46115</v>
      </c>
      <c r="E46" s="54">
        <v>46116</v>
      </c>
      <c r="F46" s="54">
        <v>46117</v>
      </c>
      <c r="G46" s="54">
        <v>46118</v>
      </c>
      <c r="H46" s="54">
        <v>46119</v>
      </c>
      <c r="I46" s="54">
        <v>46120</v>
      </c>
      <c r="J46" s="54">
        <v>46121</v>
      </c>
      <c r="K46" s="54">
        <v>46122</v>
      </c>
      <c r="L46" s="54">
        <v>46123</v>
      </c>
      <c r="M46" s="54">
        <v>46124</v>
      </c>
      <c r="N46" s="54">
        <v>46125</v>
      </c>
      <c r="O46" s="54">
        <v>46126</v>
      </c>
      <c r="P46" s="54">
        <v>46127</v>
      </c>
      <c r="Q46" s="54">
        <v>46128</v>
      </c>
      <c r="R46" s="54">
        <v>46129</v>
      </c>
      <c r="S46" s="54">
        <v>46130</v>
      </c>
      <c r="T46" s="54">
        <v>46131</v>
      </c>
      <c r="U46" s="54">
        <v>46132</v>
      </c>
      <c r="V46" s="54">
        <v>46133</v>
      </c>
      <c r="W46" s="54">
        <v>46134</v>
      </c>
      <c r="X46" s="54">
        <v>46135</v>
      </c>
      <c r="Y46" s="54">
        <v>46136</v>
      </c>
      <c r="Z46" s="54">
        <v>46137</v>
      </c>
      <c r="AA46" s="54">
        <v>46138</v>
      </c>
      <c r="AB46" s="54">
        <v>46139</v>
      </c>
      <c r="AC46" s="54">
        <v>46140</v>
      </c>
      <c r="AD46" s="54">
        <v>46141</v>
      </c>
      <c r="AE46" s="54">
        <v>46142</v>
      </c>
      <c r="AF46" s="54"/>
      <c r="AG46" s="61" t="s">
        <v>2</v>
      </c>
      <c r="AH46" s="61" t="s">
        <v>3</v>
      </c>
      <c r="AI46" s="62" t="s">
        <v>52</v>
      </c>
    </row>
    <row r="47" spans="1:61" ht="21">
      <c r="A47" s="55" t="s">
        <v>5</v>
      </c>
      <c r="B47" s="56">
        <v>22</v>
      </c>
      <c r="C47" s="56">
        <v>33</v>
      </c>
      <c r="D47" s="56">
        <v>13</v>
      </c>
      <c r="E47" s="56">
        <v>44</v>
      </c>
      <c r="F47" s="56">
        <v>14</v>
      </c>
      <c r="G47" s="56">
        <v>28</v>
      </c>
      <c r="H47" s="56">
        <v>23</v>
      </c>
      <c r="I47" s="56">
        <v>29</v>
      </c>
      <c r="J47" s="56">
        <v>21</v>
      </c>
      <c r="K47" s="56">
        <v>35</v>
      </c>
      <c r="L47" s="56">
        <v>39</v>
      </c>
      <c r="M47" s="56">
        <v>22</v>
      </c>
      <c r="N47" s="56">
        <v>26</v>
      </c>
      <c r="O47" s="56">
        <v>23</v>
      </c>
      <c r="P47" s="56">
        <v>27</v>
      </c>
      <c r="Q47" s="56">
        <v>20</v>
      </c>
      <c r="R47" s="56">
        <v>26</v>
      </c>
      <c r="S47" s="56">
        <v>41</v>
      </c>
      <c r="T47" s="56">
        <v>13</v>
      </c>
      <c r="U47" s="56">
        <v>18</v>
      </c>
      <c r="V47" s="56">
        <v>15</v>
      </c>
      <c r="W47" s="56">
        <v>10</v>
      </c>
      <c r="X47" s="56">
        <v>19</v>
      </c>
      <c r="Y47" s="56">
        <v>30</v>
      </c>
      <c r="Z47" s="56">
        <v>36</v>
      </c>
      <c r="AA47" s="56">
        <v>23</v>
      </c>
      <c r="AB47" s="56">
        <v>21</v>
      </c>
      <c r="AC47" s="56">
        <v>17</v>
      </c>
      <c r="AD47" s="56">
        <v>15</v>
      </c>
      <c r="AE47" s="56">
        <v>30</v>
      </c>
      <c r="AF47" s="56"/>
      <c r="AG47" s="63">
        <f>SUM(B47:AF47)</f>
        <v>733</v>
      </c>
      <c r="AH47" s="63"/>
      <c r="AI47" s="63">
        <f>AG47</f>
        <v>733</v>
      </c>
    </row>
    <row r="48" spans="1:61" ht="21">
      <c r="A48" s="55" t="s">
        <v>21</v>
      </c>
      <c r="B48" s="56">
        <v>10</v>
      </c>
      <c r="C48" s="56">
        <v>27</v>
      </c>
      <c r="D48" s="56">
        <v>7</v>
      </c>
      <c r="E48" s="56">
        <v>36</v>
      </c>
      <c r="F48" s="56">
        <v>6</v>
      </c>
      <c r="G48" s="56">
        <v>16</v>
      </c>
      <c r="H48" s="56">
        <v>12</v>
      </c>
      <c r="I48" s="56">
        <v>17</v>
      </c>
      <c r="J48" s="56">
        <v>10</v>
      </c>
      <c r="K48" s="56">
        <v>24</v>
      </c>
      <c r="L48" s="56">
        <v>24</v>
      </c>
      <c r="M48" s="56">
        <v>8</v>
      </c>
      <c r="N48" s="56">
        <v>12</v>
      </c>
      <c r="O48" s="56">
        <v>16</v>
      </c>
      <c r="P48" s="56">
        <v>14</v>
      </c>
      <c r="Q48" s="56">
        <v>13</v>
      </c>
      <c r="R48" s="56">
        <v>14</v>
      </c>
      <c r="S48" s="56">
        <v>21</v>
      </c>
      <c r="T48" s="56">
        <v>7</v>
      </c>
      <c r="U48" s="56">
        <v>12</v>
      </c>
      <c r="V48" s="56">
        <v>6</v>
      </c>
      <c r="W48" s="56">
        <v>7</v>
      </c>
      <c r="X48" s="56">
        <v>11</v>
      </c>
      <c r="Y48" s="56">
        <v>20</v>
      </c>
      <c r="Z48" s="56">
        <v>17</v>
      </c>
      <c r="AA48" s="56">
        <v>13</v>
      </c>
      <c r="AB48" s="56">
        <v>13</v>
      </c>
      <c r="AC48" s="56">
        <v>9</v>
      </c>
      <c r="AD48" s="56">
        <v>11</v>
      </c>
      <c r="AE48" s="56">
        <v>19</v>
      </c>
      <c r="AF48" s="56"/>
      <c r="AG48" s="63">
        <f t="shared" ref="AG48:AG55" si="29">SUM(B48:AF48)</f>
        <v>432</v>
      </c>
      <c r="AH48" s="63"/>
      <c r="AI48" s="63">
        <f>AG48+AH50+AH51+AH52</f>
        <v>432</v>
      </c>
    </row>
    <row r="49" spans="1:35" ht="21">
      <c r="A49" s="55" t="s">
        <v>22</v>
      </c>
      <c r="B49" s="125">
        <v>9</v>
      </c>
      <c r="C49" s="125">
        <v>25</v>
      </c>
      <c r="D49" s="125">
        <v>7</v>
      </c>
      <c r="E49" s="125">
        <v>34</v>
      </c>
      <c r="F49" s="125">
        <v>5</v>
      </c>
      <c r="G49" s="125">
        <v>14</v>
      </c>
      <c r="H49" s="125">
        <v>12</v>
      </c>
      <c r="I49" s="125">
        <v>16</v>
      </c>
      <c r="J49" s="125">
        <v>10</v>
      </c>
      <c r="K49" s="125">
        <v>22</v>
      </c>
      <c r="L49" s="125">
        <v>21</v>
      </c>
      <c r="M49" s="125">
        <v>8</v>
      </c>
      <c r="N49" s="125">
        <v>10</v>
      </c>
      <c r="O49" s="125">
        <v>14</v>
      </c>
      <c r="P49" s="125">
        <v>12</v>
      </c>
      <c r="Q49" s="125">
        <v>12</v>
      </c>
      <c r="R49" s="125">
        <v>14</v>
      </c>
      <c r="S49" s="125">
        <v>20</v>
      </c>
      <c r="T49" s="125">
        <v>6</v>
      </c>
      <c r="U49" s="125">
        <v>11</v>
      </c>
      <c r="V49" s="125">
        <v>5</v>
      </c>
      <c r="W49" s="125">
        <v>7</v>
      </c>
      <c r="X49" s="125">
        <v>10</v>
      </c>
      <c r="Y49" s="125">
        <v>20</v>
      </c>
      <c r="Z49" s="125">
        <v>15</v>
      </c>
      <c r="AA49" s="125">
        <v>13</v>
      </c>
      <c r="AB49" s="125">
        <v>13</v>
      </c>
      <c r="AC49" s="125">
        <v>8</v>
      </c>
      <c r="AD49" s="125">
        <v>11</v>
      </c>
      <c r="AE49" s="125">
        <v>19</v>
      </c>
      <c r="AF49" s="56"/>
      <c r="AG49" s="63">
        <f t="shared" si="29"/>
        <v>403</v>
      </c>
      <c r="AH49" s="63"/>
      <c r="AI49" s="63">
        <f>AG49+AH50+AH51+AH52</f>
        <v>403</v>
      </c>
    </row>
    <row r="50" spans="1:35" ht="21">
      <c r="A50" s="55" t="s">
        <v>23</v>
      </c>
      <c r="B50" s="125">
        <v>0</v>
      </c>
      <c r="C50" s="125">
        <v>0</v>
      </c>
      <c r="D50" s="125">
        <v>0</v>
      </c>
      <c r="E50" s="125">
        <v>1</v>
      </c>
      <c r="F50" s="125">
        <v>0</v>
      </c>
      <c r="G50" s="125">
        <v>0</v>
      </c>
      <c r="H50" s="125">
        <v>0</v>
      </c>
      <c r="I50" s="125">
        <v>0</v>
      </c>
      <c r="J50" s="125">
        <v>0</v>
      </c>
      <c r="K50" s="125">
        <v>0</v>
      </c>
      <c r="L50" s="125">
        <v>0</v>
      </c>
      <c r="M50" s="125">
        <v>0</v>
      </c>
      <c r="N50" s="125">
        <v>1</v>
      </c>
      <c r="O50" s="125">
        <v>0</v>
      </c>
      <c r="P50" s="125">
        <v>0</v>
      </c>
      <c r="Q50" s="125">
        <v>0</v>
      </c>
      <c r="R50" s="125">
        <v>0</v>
      </c>
      <c r="S50" s="125">
        <v>0</v>
      </c>
      <c r="T50" s="125">
        <v>0</v>
      </c>
      <c r="U50" s="125">
        <v>0</v>
      </c>
      <c r="V50" s="125">
        <v>0</v>
      </c>
      <c r="W50" s="125">
        <v>0</v>
      </c>
      <c r="X50" s="125">
        <v>1</v>
      </c>
      <c r="Y50" s="125">
        <v>0</v>
      </c>
      <c r="Z50" s="125">
        <v>1</v>
      </c>
      <c r="AA50" s="125">
        <v>0</v>
      </c>
      <c r="AB50" s="125">
        <v>0</v>
      </c>
      <c r="AC50" s="125">
        <v>0</v>
      </c>
      <c r="AD50" s="125">
        <v>0</v>
      </c>
      <c r="AE50" s="125">
        <v>0</v>
      </c>
      <c r="AF50" s="56"/>
      <c r="AG50" s="63">
        <f t="shared" si="29"/>
        <v>4</v>
      </c>
      <c r="AH50" s="63"/>
      <c r="AI50" s="63">
        <f t="shared" ref="AI50:AI55" si="30">AG50-AH50</f>
        <v>4</v>
      </c>
    </row>
    <row r="51" spans="1:35" ht="21">
      <c r="A51" s="55" t="s">
        <v>24</v>
      </c>
      <c r="B51" s="125">
        <v>0</v>
      </c>
      <c r="C51" s="125">
        <v>1</v>
      </c>
      <c r="D51" s="125">
        <v>0</v>
      </c>
      <c r="E51" s="125">
        <v>0</v>
      </c>
      <c r="F51" s="125">
        <v>1</v>
      </c>
      <c r="G51" s="125">
        <v>2</v>
      </c>
      <c r="H51" s="125">
        <v>0</v>
      </c>
      <c r="I51" s="125">
        <v>0</v>
      </c>
      <c r="J51" s="125">
        <v>0</v>
      </c>
      <c r="K51" s="125">
        <v>1</v>
      </c>
      <c r="L51" s="125">
        <v>2</v>
      </c>
      <c r="M51" s="125">
        <v>0</v>
      </c>
      <c r="N51" s="125">
        <v>1</v>
      </c>
      <c r="O51" s="125">
        <v>1</v>
      </c>
      <c r="P51" s="125">
        <v>0</v>
      </c>
      <c r="Q51" s="125">
        <v>0</v>
      </c>
      <c r="R51" s="125">
        <v>0</v>
      </c>
      <c r="S51" s="125">
        <v>0</v>
      </c>
      <c r="T51" s="125">
        <v>0</v>
      </c>
      <c r="U51" s="125">
        <v>0</v>
      </c>
      <c r="V51" s="125">
        <v>0</v>
      </c>
      <c r="W51" s="125">
        <v>0</v>
      </c>
      <c r="X51" s="125">
        <v>0</v>
      </c>
      <c r="Y51" s="125">
        <v>0</v>
      </c>
      <c r="Z51" s="125">
        <v>1</v>
      </c>
      <c r="AA51" s="125">
        <v>0</v>
      </c>
      <c r="AB51" s="125">
        <v>0</v>
      </c>
      <c r="AC51" s="125">
        <v>0</v>
      </c>
      <c r="AD51" s="125">
        <v>0</v>
      </c>
      <c r="AE51" s="125">
        <v>0</v>
      </c>
      <c r="AF51" s="56"/>
      <c r="AG51" s="63">
        <f t="shared" si="29"/>
        <v>10</v>
      </c>
      <c r="AH51" s="63"/>
      <c r="AI51" s="63">
        <f t="shared" si="30"/>
        <v>10</v>
      </c>
    </row>
    <row r="52" spans="1:35" ht="21">
      <c r="A52" s="55" t="s">
        <v>26</v>
      </c>
      <c r="B52" s="125">
        <v>1</v>
      </c>
      <c r="C52" s="125">
        <v>1</v>
      </c>
      <c r="D52" s="125">
        <v>0</v>
      </c>
      <c r="E52" s="125">
        <v>1</v>
      </c>
      <c r="F52" s="125">
        <v>0</v>
      </c>
      <c r="G52" s="125">
        <v>0</v>
      </c>
      <c r="H52" s="125">
        <v>0</v>
      </c>
      <c r="I52" s="125">
        <v>1</v>
      </c>
      <c r="J52" s="125">
        <v>0</v>
      </c>
      <c r="K52" s="125">
        <v>1</v>
      </c>
      <c r="L52" s="125">
        <v>1</v>
      </c>
      <c r="M52" s="125">
        <v>0</v>
      </c>
      <c r="N52" s="125">
        <v>0</v>
      </c>
      <c r="O52" s="125">
        <v>1</v>
      </c>
      <c r="P52" s="125">
        <v>2</v>
      </c>
      <c r="Q52" s="125">
        <v>1</v>
      </c>
      <c r="R52" s="125">
        <v>0</v>
      </c>
      <c r="S52" s="125">
        <v>1</v>
      </c>
      <c r="T52" s="125">
        <v>1</v>
      </c>
      <c r="U52" s="125">
        <v>1</v>
      </c>
      <c r="V52" s="125">
        <v>1</v>
      </c>
      <c r="W52" s="125">
        <v>0</v>
      </c>
      <c r="X52" s="125">
        <v>0</v>
      </c>
      <c r="Y52" s="125">
        <v>0</v>
      </c>
      <c r="Z52" s="125">
        <v>0</v>
      </c>
      <c r="AA52" s="125">
        <v>0</v>
      </c>
      <c r="AB52" s="125">
        <v>0</v>
      </c>
      <c r="AC52" s="125">
        <v>1</v>
      </c>
      <c r="AD52" s="125">
        <v>0</v>
      </c>
      <c r="AE52" s="125">
        <v>0</v>
      </c>
      <c r="AF52" s="56"/>
      <c r="AG52" s="63">
        <f t="shared" si="29"/>
        <v>15</v>
      </c>
      <c r="AH52" s="63"/>
      <c r="AI52" s="63">
        <f t="shared" si="30"/>
        <v>15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9"/>
        <v>0</v>
      </c>
      <c r="AH53" s="70"/>
      <c r="AI53" s="63">
        <f t="shared" si="30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9"/>
        <v>0</v>
      </c>
      <c r="AH54" s="71"/>
      <c r="AI54" s="63">
        <f t="shared" si="30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9"/>
        <v>0</v>
      </c>
      <c r="AH55" s="63"/>
      <c r="AI55" s="63">
        <f t="shared" si="30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46113</v>
      </c>
      <c r="C57" s="54">
        <v>46114</v>
      </c>
      <c r="D57" s="54">
        <v>46115</v>
      </c>
      <c r="E57" s="54">
        <v>46116</v>
      </c>
      <c r="F57" s="54">
        <v>46117</v>
      </c>
      <c r="G57" s="54">
        <v>46118</v>
      </c>
      <c r="H57" s="54">
        <v>46119</v>
      </c>
      <c r="I57" s="54">
        <v>46120</v>
      </c>
      <c r="J57" s="54">
        <v>46121</v>
      </c>
      <c r="K57" s="54">
        <v>46122</v>
      </c>
      <c r="L57" s="54">
        <v>46123</v>
      </c>
      <c r="M57" s="54">
        <v>46124</v>
      </c>
      <c r="N57" s="54">
        <v>46125</v>
      </c>
      <c r="O57" s="54">
        <v>46126</v>
      </c>
      <c r="P57" s="54">
        <v>46127</v>
      </c>
      <c r="Q57" s="54">
        <v>46128</v>
      </c>
      <c r="R57" s="54">
        <v>46129</v>
      </c>
      <c r="S57" s="54">
        <v>46130</v>
      </c>
      <c r="T57" s="54">
        <v>46131</v>
      </c>
      <c r="U57" s="54">
        <v>46132</v>
      </c>
      <c r="V57" s="54">
        <v>46133</v>
      </c>
      <c r="W57" s="54">
        <v>46134</v>
      </c>
      <c r="X57" s="54">
        <v>46135</v>
      </c>
      <c r="Y57" s="54">
        <v>46136</v>
      </c>
      <c r="Z57" s="54">
        <v>46137</v>
      </c>
      <c r="AA57" s="54">
        <v>46138</v>
      </c>
      <c r="AB57" s="54">
        <v>46139</v>
      </c>
      <c r="AC57" s="54">
        <v>46140</v>
      </c>
      <c r="AD57" s="54">
        <v>46141</v>
      </c>
      <c r="AE57" s="54">
        <v>46142</v>
      </c>
      <c r="AF57" s="54"/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36</v>
      </c>
      <c r="C58" s="56">
        <v>17</v>
      </c>
      <c r="D58" s="56">
        <v>0</v>
      </c>
      <c r="E58" s="56">
        <v>33</v>
      </c>
      <c r="F58" s="56">
        <v>18</v>
      </c>
      <c r="G58" s="56">
        <v>21</v>
      </c>
      <c r="H58" s="56">
        <v>15</v>
      </c>
      <c r="I58" s="56">
        <v>14</v>
      </c>
      <c r="J58" s="56">
        <v>15</v>
      </c>
      <c r="K58" s="56"/>
      <c r="L58" s="56">
        <v>34</v>
      </c>
      <c r="M58" s="56">
        <v>16</v>
      </c>
      <c r="N58" s="56">
        <v>9</v>
      </c>
      <c r="O58" s="56">
        <v>21</v>
      </c>
      <c r="P58" s="56">
        <v>23</v>
      </c>
      <c r="Q58" s="56">
        <v>10</v>
      </c>
      <c r="R58" s="56">
        <v>23</v>
      </c>
      <c r="S58" s="56">
        <v>41</v>
      </c>
      <c r="T58" s="56">
        <v>16</v>
      </c>
      <c r="U58" s="56">
        <v>17</v>
      </c>
      <c r="V58" s="56">
        <v>23</v>
      </c>
      <c r="W58" s="56">
        <v>12</v>
      </c>
      <c r="X58" s="56">
        <v>25</v>
      </c>
      <c r="Y58" s="56">
        <v>50</v>
      </c>
      <c r="Z58" s="56">
        <v>53</v>
      </c>
      <c r="AA58" s="56">
        <v>25</v>
      </c>
      <c r="AB58" s="56">
        <v>22</v>
      </c>
      <c r="AC58" s="56">
        <v>28</v>
      </c>
      <c r="AD58" s="56">
        <v>27</v>
      </c>
      <c r="AE58" s="56">
        <v>41</v>
      </c>
      <c r="AF58" s="56"/>
      <c r="AG58" s="63">
        <f>SUM(B58:AF58)</f>
        <v>685</v>
      </c>
      <c r="AH58" s="63"/>
      <c r="AI58" s="63">
        <f>AG58</f>
        <v>685</v>
      </c>
    </row>
    <row r="59" spans="1:35" ht="21">
      <c r="A59" s="55" t="s">
        <v>21</v>
      </c>
      <c r="B59" s="56">
        <v>26</v>
      </c>
      <c r="C59" s="56">
        <v>11</v>
      </c>
      <c r="D59" s="56">
        <v>0</v>
      </c>
      <c r="E59" s="56">
        <v>19</v>
      </c>
      <c r="F59" s="56">
        <v>12</v>
      </c>
      <c r="G59" s="56">
        <v>13</v>
      </c>
      <c r="H59" s="56">
        <v>9</v>
      </c>
      <c r="I59" s="56">
        <v>8</v>
      </c>
      <c r="J59" s="56">
        <v>11</v>
      </c>
      <c r="K59" s="56"/>
      <c r="L59" s="56">
        <v>16</v>
      </c>
      <c r="M59" s="56">
        <v>10</v>
      </c>
      <c r="N59" s="56">
        <v>5</v>
      </c>
      <c r="O59" s="56">
        <v>17</v>
      </c>
      <c r="P59" s="56">
        <v>11</v>
      </c>
      <c r="Q59" s="56">
        <v>7</v>
      </c>
      <c r="R59" s="56">
        <v>13</v>
      </c>
      <c r="S59" s="56">
        <v>24</v>
      </c>
      <c r="T59" s="56">
        <v>7</v>
      </c>
      <c r="U59" s="56">
        <v>10</v>
      </c>
      <c r="V59" s="56">
        <v>12</v>
      </c>
      <c r="W59" s="56">
        <v>10</v>
      </c>
      <c r="X59" s="56">
        <v>15</v>
      </c>
      <c r="Y59" s="56">
        <v>21</v>
      </c>
      <c r="Z59" s="56">
        <v>27</v>
      </c>
      <c r="AA59" s="56">
        <v>11</v>
      </c>
      <c r="AB59" s="56">
        <v>6</v>
      </c>
      <c r="AC59" s="56">
        <v>8</v>
      </c>
      <c r="AD59" s="56">
        <v>11</v>
      </c>
      <c r="AE59" s="56">
        <v>21</v>
      </c>
      <c r="AF59" s="56"/>
      <c r="AG59" s="63">
        <f t="shared" ref="AG59:AG66" si="31">SUM(B59:AF59)</f>
        <v>371</v>
      </c>
      <c r="AH59" s="63"/>
      <c r="AI59" s="63">
        <f>AG59+AH61+AH62+AH63</f>
        <v>371</v>
      </c>
    </row>
    <row r="60" spans="1:35" ht="21">
      <c r="A60" s="55" t="s">
        <v>22</v>
      </c>
      <c r="B60" s="125">
        <v>26</v>
      </c>
      <c r="C60" s="125">
        <v>11</v>
      </c>
      <c r="D60" s="125">
        <v>0</v>
      </c>
      <c r="E60" s="125">
        <v>18</v>
      </c>
      <c r="F60" s="125">
        <v>11</v>
      </c>
      <c r="G60" s="125">
        <v>13</v>
      </c>
      <c r="H60" s="125">
        <v>8</v>
      </c>
      <c r="I60" s="125">
        <v>8</v>
      </c>
      <c r="J60" s="125">
        <v>11</v>
      </c>
      <c r="K60" s="125"/>
      <c r="L60" s="125">
        <v>16</v>
      </c>
      <c r="M60" s="125">
        <v>8</v>
      </c>
      <c r="N60" s="125">
        <v>5</v>
      </c>
      <c r="O60" s="125">
        <v>16</v>
      </c>
      <c r="P60" s="125">
        <v>10</v>
      </c>
      <c r="Q60" s="125">
        <v>6</v>
      </c>
      <c r="R60" s="125">
        <v>13</v>
      </c>
      <c r="S60" s="125">
        <v>22</v>
      </c>
      <c r="T60" s="125">
        <v>7</v>
      </c>
      <c r="U60" s="125">
        <v>10</v>
      </c>
      <c r="V60" s="125">
        <v>11</v>
      </c>
      <c r="W60" s="125">
        <v>10</v>
      </c>
      <c r="X60" s="125">
        <v>13</v>
      </c>
      <c r="Y60" s="125">
        <v>16</v>
      </c>
      <c r="Z60" s="125">
        <v>26</v>
      </c>
      <c r="AA60" s="125">
        <v>10</v>
      </c>
      <c r="AB60" s="125">
        <v>5</v>
      </c>
      <c r="AC60" s="125">
        <v>7</v>
      </c>
      <c r="AD60" s="125">
        <v>10</v>
      </c>
      <c r="AE60" s="125">
        <v>18</v>
      </c>
      <c r="AF60" s="56"/>
      <c r="AG60" s="63">
        <f t="shared" si="31"/>
        <v>345</v>
      </c>
      <c r="AH60" s="63"/>
      <c r="AI60" s="63">
        <f>AG60+AH61+AH62+AH63</f>
        <v>345</v>
      </c>
    </row>
    <row r="61" spans="1:35" ht="21">
      <c r="A61" s="55" t="s">
        <v>23</v>
      </c>
      <c r="B61" s="125">
        <v>0</v>
      </c>
      <c r="C61" s="125">
        <v>0</v>
      </c>
      <c r="D61" s="125">
        <v>0</v>
      </c>
      <c r="E61" s="125">
        <v>0</v>
      </c>
      <c r="F61" s="125">
        <v>0</v>
      </c>
      <c r="G61" s="125">
        <v>0</v>
      </c>
      <c r="H61" s="125">
        <v>0</v>
      </c>
      <c r="I61" s="125">
        <v>0</v>
      </c>
      <c r="J61" s="125">
        <v>0</v>
      </c>
      <c r="K61" s="125"/>
      <c r="L61" s="125">
        <v>0</v>
      </c>
      <c r="M61" s="125">
        <v>0</v>
      </c>
      <c r="N61" s="125">
        <v>0</v>
      </c>
      <c r="O61" s="125">
        <v>1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1</v>
      </c>
      <c r="W61" s="125">
        <v>0</v>
      </c>
      <c r="X61" s="125">
        <v>0</v>
      </c>
      <c r="Y61" s="125">
        <v>1</v>
      </c>
      <c r="Z61" s="125">
        <v>0</v>
      </c>
      <c r="AA61" s="125">
        <v>0</v>
      </c>
      <c r="AB61" s="125">
        <v>0</v>
      </c>
      <c r="AC61" s="125">
        <v>1</v>
      </c>
      <c r="AD61" s="125">
        <v>0</v>
      </c>
      <c r="AE61" s="125">
        <v>0</v>
      </c>
      <c r="AF61" s="56"/>
      <c r="AG61" s="63">
        <f t="shared" si="31"/>
        <v>4</v>
      </c>
      <c r="AH61" s="63"/>
      <c r="AI61" s="63">
        <f t="shared" ref="AI61:AI66" si="32">AG61-AH61</f>
        <v>4</v>
      </c>
    </row>
    <row r="62" spans="1:35" ht="21">
      <c r="A62" s="55" t="s">
        <v>24</v>
      </c>
      <c r="B62" s="125">
        <v>0</v>
      </c>
      <c r="C62" s="125">
        <v>0</v>
      </c>
      <c r="D62" s="125">
        <v>0</v>
      </c>
      <c r="E62" s="125">
        <v>0</v>
      </c>
      <c r="F62" s="125">
        <v>0</v>
      </c>
      <c r="G62" s="125">
        <v>0</v>
      </c>
      <c r="H62" s="125">
        <v>0</v>
      </c>
      <c r="I62" s="125">
        <v>0</v>
      </c>
      <c r="J62" s="125">
        <v>0</v>
      </c>
      <c r="K62" s="125"/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1</v>
      </c>
      <c r="R62" s="125">
        <v>0</v>
      </c>
      <c r="S62" s="125">
        <v>1</v>
      </c>
      <c r="T62" s="125">
        <v>0</v>
      </c>
      <c r="U62" s="125">
        <v>0</v>
      </c>
      <c r="V62" s="125">
        <v>0</v>
      </c>
      <c r="W62" s="125">
        <v>0</v>
      </c>
      <c r="X62" s="125">
        <v>0</v>
      </c>
      <c r="Y62" s="125">
        <v>2</v>
      </c>
      <c r="Z62" s="125">
        <v>0</v>
      </c>
      <c r="AA62" s="125">
        <v>0</v>
      </c>
      <c r="AB62" s="125">
        <v>0</v>
      </c>
      <c r="AC62" s="125">
        <v>0</v>
      </c>
      <c r="AD62" s="125">
        <v>0</v>
      </c>
      <c r="AE62" s="125">
        <v>0</v>
      </c>
      <c r="AF62" s="56"/>
      <c r="AG62" s="63">
        <f t="shared" si="31"/>
        <v>4</v>
      </c>
      <c r="AH62" s="63"/>
      <c r="AI62" s="63">
        <f t="shared" si="32"/>
        <v>4</v>
      </c>
    </row>
    <row r="63" spans="1:35" ht="21">
      <c r="A63" s="55" t="s">
        <v>26</v>
      </c>
      <c r="B63" s="125">
        <v>0</v>
      </c>
      <c r="C63" s="125">
        <v>0</v>
      </c>
      <c r="D63" s="125">
        <v>0</v>
      </c>
      <c r="E63" s="125">
        <v>1</v>
      </c>
      <c r="F63" s="125">
        <v>1</v>
      </c>
      <c r="G63" s="125">
        <v>0</v>
      </c>
      <c r="H63" s="125">
        <v>1</v>
      </c>
      <c r="I63" s="125">
        <v>0</v>
      </c>
      <c r="J63" s="125">
        <v>0</v>
      </c>
      <c r="K63" s="125"/>
      <c r="L63" s="125">
        <v>0</v>
      </c>
      <c r="M63" s="125">
        <v>2</v>
      </c>
      <c r="N63" s="125">
        <v>0</v>
      </c>
      <c r="O63" s="125">
        <v>0</v>
      </c>
      <c r="P63" s="125">
        <v>1</v>
      </c>
      <c r="Q63" s="125">
        <v>0</v>
      </c>
      <c r="R63" s="125">
        <v>0</v>
      </c>
      <c r="S63" s="125">
        <v>1</v>
      </c>
      <c r="T63" s="125">
        <v>0</v>
      </c>
      <c r="U63" s="125">
        <v>0</v>
      </c>
      <c r="V63" s="125">
        <v>0</v>
      </c>
      <c r="W63" s="125">
        <v>0</v>
      </c>
      <c r="X63" s="125">
        <v>2</v>
      </c>
      <c r="Y63" s="125">
        <v>2</v>
      </c>
      <c r="Z63" s="125">
        <v>1</v>
      </c>
      <c r="AA63" s="125">
        <v>1</v>
      </c>
      <c r="AB63" s="125">
        <v>1</v>
      </c>
      <c r="AC63" s="125">
        <v>0</v>
      </c>
      <c r="AD63" s="125">
        <v>1</v>
      </c>
      <c r="AE63" s="125">
        <v>3</v>
      </c>
      <c r="AF63" s="56"/>
      <c r="AG63" s="63">
        <f t="shared" si="31"/>
        <v>18</v>
      </c>
      <c r="AH63" s="63"/>
      <c r="AI63" s="63">
        <f t="shared" si="32"/>
        <v>18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1"/>
        <v>0</v>
      </c>
      <c r="AH64" s="70"/>
      <c r="AI64" s="63">
        <f t="shared" si="32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1"/>
        <v>0</v>
      </c>
      <c r="AH65" s="71"/>
      <c r="AI65" s="63">
        <f t="shared" si="32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1"/>
        <v>0</v>
      </c>
      <c r="AH66" s="63"/>
      <c r="AI66" s="63">
        <f t="shared" si="32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46113</v>
      </c>
      <c r="C68" s="54">
        <v>46114</v>
      </c>
      <c r="D68" s="54">
        <v>46115</v>
      </c>
      <c r="E68" s="54">
        <v>46116</v>
      </c>
      <c r="F68" s="54">
        <v>46117</v>
      </c>
      <c r="G68" s="54">
        <v>46118</v>
      </c>
      <c r="H68" s="54">
        <v>46119</v>
      </c>
      <c r="I68" s="54">
        <v>46120</v>
      </c>
      <c r="J68" s="54">
        <v>46121</v>
      </c>
      <c r="K68" s="54">
        <v>46122</v>
      </c>
      <c r="L68" s="54">
        <v>46123</v>
      </c>
      <c r="M68" s="54">
        <v>46124</v>
      </c>
      <c r="N68" s="54">
        <v>46125</v>
      </c>
      <c r="O68" s="54">
        <v>46126</v>
      </c>
      <c r="P68" s="54">
        <v>46127</v>
      </c>
      <c r="Q68" s="54">
        <v>46128</v>
      </c>
      <c r="R68" s="54">
        <v>46129</v>
      </c>
      <c r="S68" s="54">
        <v>46130</v>
      </c>
      <c r="T68" s="54">
        <v>46131</v>
      </c>
      <c r="U68" s="54">
        <v>46132</v>
      </c>
      <c r="V68" s="54">
        <v>46133</v>
      </c>
      <c r="W68" s="54">
        <v>46134</v>
      </c>
      <c r="X68" s="54">
        <v>46135</v>
      </c>
      <c r="Y68" s="54">
        <v>46136</v>
      </c>
      <c r="Z68" s="54">
        <v>46137</v>
      </c>
      <c r="AA68" s="54">
        <v>46138</v>
      </c>
      <c r="AB68" s="54">
        <v>46139</v>
      </c>
      <c r="AC68" s="54">
        <v>46140</v>
      </c>
      <c r="AD68" s="54">
        <v>46141</v>
      </c>
      <c r="AE68" s="54">
        <v>46142</v>
      </c>
      <c r="AF68" s="54"/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>
        <v>35</v>
      </c>
      <c r="C69" s="56">
        <v>48</v>
      </c>
      <c r="D69" s="56">
        <v>0</v>
      </c>
      <c r="E69" s="56">
        <v>83</v>
      </c>
      <c r="F69" s="56">
        <v>31</v>
      </c>
      <c r="G69" s="56">
        <v>32</v>
      </c>
      <c r="H69" s="56">
        <v>28</v>
      </c>
      <c r="I69" s="56">
        <v>46</v>
      </c>
      <c r="J69" s="56">
        <v>27</v>
      </c>
      <c r="K69" s="56">
        <v>45</v>
      </c>
      <c r="L69" s="56">
        <v>115</v>
      </c>
      <c r="M69" s="56">
        <v>50</v>
      </c>
      <c r="N69" s="56">
        <v>33</v>
      </c>
      <c r="O69" s="56">
        <v>28</v>
      </c>
      <c r="P69" s="56">
        <v>37</v>
      </c>
      <c r="Q69" s="56">
        <v>51</v>
      </c>
      <c r="R69" s="56">
        <v>45</v>
      </c>
      <c r="S69" s="56">
        <v>92</v>
      </c>
      <c r="T69" s="56">
        <v>39</v>
      </c>
      <c r="U69" s="56">
        <v>41</v>
      </c>
      <c r="V69" s="56">
        <v>29</v>
      </c>
      <c r="W69" s="56">
        <v>35</v>
      </c>
      <c r="X69" s="56">
        <v>23</v>
      </c>
      <c r="Y69" s="56">
        <v>51</v>
      </c>
      <c r="Z69" s="56">
        <v>95</v>
      </c>
      <c r="AA69" s="56">
        <v>32</v>
      </c>
      <c r="AB69" s="56">
        <v>15</v>
      </c>
      <c r="AC69" s="56">
        <v>16</v>
      </c>
      <c r="AD69" s="56">
        <v>21</v>
      </c>
      <c r="AE69" s="56">
        <v>27</v>
      </c>
      <c r="AF69" s="56"/>
      <c r="AG69" s="63">
        <f>SUM(B69:AF69)</f>
        <v>1250</v>
      </c>
      <c r="AH69" s="63"/>
      <c r="AI69" s="63">
        <f>AG69</f>
        <v>1250</v>
      </c>
    </row>
    <row r="70" spans="1:35" ht="21">
      <c r="A70" s="55" t="s">
        <v>21</v>
      </c>
      <c r="B70" s="56">
        <v>21</v>
      </c>
      <c r="C70" s="56">
        <v>36</v>
      </c>
      <c r="D70" s="56">
        <v>0</v>
      </c>
      <c r="E70" s="56">
        <v>43</v>
      </c>
      <c r="F70" s="56">
        <v>20</v>
      </c>
      <c r="G70" s="56">
        <v>17</v>
      </c>
      <c r="H70" s="56">
        <v>18</v>
      </c>
      <c r="I70" s="56">
        <v>21</v>
      </c>
      <c r="J70" s="56">
        <v>15</v>
      </c>
      <c r="K70" s="56">
        <v>19</v>
      </c>
      <c r="L70" s="56">
        <v>56</v>
      </c>
      <c r="M70" s="56">
        <v>25</v>
      </c>
      <c r="N70" s="56">
        <v>10</v>
      </c>
      <c r="O70" s="56">
        <v>11</v>
      </c>
      <c r="P70" s="56">
        <v>18</v>
      </c>
      <c r="Q70" s="56">
        <v>31</v>
      </c>
      <c r="R70" s="56">
        <v>25</v>
      </c>
      <c r="S70" s="56">
        <v>36</v>
      </c>
      <c r="T70" s="56">
        <v>13</v>
      </c>
      <c r="U70" s="56">
        <v>19</v>
      </c>
      <c r="V70" s="56">
        <v>12</v>
      </c>
      <c r="W70" s="56">
        <v>16</v>
      </c>
      <c r="X70" s="56">
        <v>10</v>
      </c>
      <c r="Y70" s="56">
        <v>26</v>
      </c>
      <c r="Z70" s="56">
        <v>37</v>
      </c>
      <c r="AA70" s="56">
        <v>13</v>
      </c>
      <c r="AB70" s="56">
        <v>5</v>
      </c>
      <c r="AC70" s="56">
        <v>5</v>
      </c>
      <c r="AD70" s="56">
        <v>8</v>
      </c>
      <c r="AE70" s="56">
        <v>14</v>
      </c>
      <c r="AF70" s="56"/>
      <c r="AG70" s="63">
        <f t="shared" ref="AG70:AG77" si="33">SUM(B70:AF70)</f>
        <v>600</v>
      </c>
      <c r="AH70" s="63"/>
      <c r="AI70" s="63">
        <f>AG70+AH72+AH73+AH74</f>
        <v>600</v>
      </c>
    </row>
    <row r="71" spans="1:35" ht="21">
      <c r="A71" s="55" t="s">
        <v>22</v>
      </c>
      <c r="B71" s="125">
        <v>19</v>
      </c>
      <c r="C71" s="125">
        <v>28</v>
      </c>
      <c r="D71" s="125">
        <v>0</v>
      </c>
      <c r="E71" s="125">
        <v>35</v>
      </c>
      <c r="F71" s="125">
        <v>17</v>
      </c>
      <c r="G71" s="125">
        <v>14</v>
      </c>
      <c r="H71" s="125">
        <v>16</v>
      </c>
      <c r="I71" s="125">
        <v>16</v>
      </c>
      <c r="J71" s="125">
        <v>14</v>
      </c>
      <c r="K71" s="125">
        <v>17</v>
      </c>
      <c r="L71" s="125">
        <v>49</v>
      </c>
      <c r="M71" s="125">
        <v>22</v>
      </c>
      <c r="N71" s="125">
        <v>9</v>
      </c>
      <c r="O71" s="125">
        <v>9</v>
      </c>
      <c r="P71" s="125">
        <v>17</v>
      </c>
      <c r="Q71" s="125">
        <v>26</v>
      </c>
      <c r="R71" s="125">
        <v>18</v>
      </c>
      <c r="S71" s="125">
        <v>30</v>
      </c>
      <c r="T71" s="125">
        <v>12</v>
      </c>
      <c r="U71" s="125">
        <v>16</v>
      </c>
      <c r="V71" s="125">
        <v>7</v>
      </c>
      <c r="W71" s="125">
        <v>15</v>
      </c>
      <c r="X71" s="125">
        <v>8</v>
      </c>
      <c r="Y71" s="125">
        <v>24</v>
      </c>
      <c r="Z71" s="125">
        <v>27</v>
      </c>
      <c r="AA71" s="125">
        <v>13</v>
      </c>
      <c r="AB71" s="125">
        <v>5</v>
      </c>
      <c r="AC71" s="125">
        <v>5</v>
      </c>
      <c r="AD71" s="125">
        <v>8</v>
      </c>
      <c r="AE71" s="125">
        <v>13</v>
      </c>
      <c r="AF71" s="56"/>
      <c r="AG71" s="63">
        <f t="shared" si="33"/>
        <v>509</v>
      </c>
      <c r="AH71" s="63"/>
      <c r="AI71" s="63">
        <f>AG71+AH72+AH73+AH74</f>
        <v>509</v>
      </c>
    </row>
    <row r="72" spans="1:35" ht="21">
      <c r="A72" s="55" t="s">
        <v>23</v>
      </c>
      <c r="B72" s="125">
        <v>0</v>
      </c>
      <c r="C72" s="125">
        <v>1</v>
      </c>
      <c r="D72" s="125">
        <v>0</v>
      </c>
      <c r="E72" s="125">
        <v>0</v>
      </c>
      <c r="F72" s="125">
        <v>1</v>
      </c>
      <c r="G72" s="125">
        <v>0</v>
      </c>
      <c r="H72" s="125">
        <v>0</v>
      </c>
      <c r="I72" s="125">
        <v>0</v>
      </c>
      <c r="J72" s="125">
        <v>0</v>
      </c>
      <c r="K72" s="125">
        <v>0</v>
      </c>
      <c r="L72" s="125">
        <v>0</v>
      </c>
      <c r="M72" s="125">
        <v>1</v>
      </c>
      <c r="N72" s="125">
        <v>0</v>
      </c>
      <c r="O72" s="125">
        <v>2</v>
      </c>
      <c r="P72" s="125">
        <v>1</v>
      </c>
      <c r="Q72" s="125">
        <v>0</v>
      </c>
      <c r="R72" s="125">
        <v>0</v>
      </c>
      <c r="S72" s="125">
        <v>0</v>
      </c>
      <c r="T72" s="125">
        <v>0</v>
      </c>
      <c r="U72" s="125">
        <v>0</v>
      </c>
      <c r="V72" s="125">
        <v>2</v>
      </c>
      <c r="W72" s="125">
        <v>0</v>
      </c>
      <c r="X72" s="125">
        <v>0</v>
      </c>
      <c r="Y72" s="125">
        <v>0</v>
      </c>
      <c r="Z72" s="125">
        <v>0</v>
      </c>
      <c r="AA72" s="125">
        <v>0</v>
      </c>
      <c r="AB72" s="125">
        <v>0</v>
      </c>
      <c r="AC72" s="125">
        <v>0</v>
      </c>
      <c r="AD72" s="125">
        <v>0</v>
      </c>
      <c r="AE72" s="125">
        <v>1</v>
      </c>
      <c r="AF72" s="56"/>
      <c r="AG72" s="63">
        <f t="shared" si="33"/>
        <v>9</v>
      </c>
      <c r="AH72" s="63"/>
      <c r="AI72" s="63">
        <f t="shared" ref="AI72:AI77" si="34">AG72-AH72</f>
        <v>9</v>
      </c>
    </row>
    <row r="73" spans="1:35" ht="21">
      <c r="A73" s="55" t="s">
        <v>24</v>
      </c>
      <c r="B73" s="125">
        <v>0</v>
      </c>
      <c r="C73" s="125">
        <v>0</v>
      </c>
      <c r="D73" s="125">
        <v>0</v>
      </c>
      <c r="E73" s="125">
        <v>0</v>
      </c>
      <c r="F73" s="125">
        <v>0</v>
      </c>
      <c r="G73" s="125">
        <v>1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1</v>
      </c>
      <c r="N73" s="125">
        <v>0</v>
      </c>
      <c r="O73" s="125">
        <v>0</v>
      </c>
      <c r="P73" s="125">
        <v>0</v>
      </c>
      <c r="Q73" s="125">
        <v>0</v>
      </c>
      <c r="R73" s="125">
        <v>0</v>
      </c>
      <c r="S73" s="125">
        <v>0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  <c r="AA73" s="125">
        <v>0</v>
      </c>
      <c r="AB73" s="125">
        <v>0</v>
      </c>
      <c r="AC73" s="125">
        <v>0</v>
      </c>
      <c r="AD73" s="125">
        <v>0</v>
      </c>
      <c r="AE73" s="125">
        <v>0</v>
      </c>
      <c r="AF73" s="56"/>
      <c r="AG73" s="63">
        <f t="shared" si="33"/>
        <v>2</v>
      </c>
      <c r="AH73" s="63"/>
      <c r="AI73" s="63">
        <f t="shared" si="34"/>
        <v>2</v>
      </c>
    </row>
    <row r="74" spans="1:35" ht="21">
      <c r="A74" s="55" t="s">
        <v>26</v>
      </c>
      <c r="B74" s="125">
        <v>2</v>
      </c>
      <c r="C74" s="125">
        <v>7</v>
      </c>
      <c r="D74" s="125">
        <v>0</v>
      </c>
      <c r="E74" s="125">
        <v>8</v>
      </c>
      <c r="F74" s="125">
        <v>2</v>
      </c>
      <c r="G74" s="125">
        <v>2</v>
      </c>
      <c r="H74" s="125">
        <v>2</v>
      </c>
      <c r="I74" s="125">
        <v>5</v>
      </c>
      <c r="J74" s="125">
        <v>1</v>
      </c>
      <c r="K74" s="125">
        <v>2</v>
      </c>
      <c r="L74" s="125">
        <v>7</v>
      </c>
      <c r="M74" s="125">
        <v>1</v>
      </c>
      <c r="N74" s="125">
        <v>1</v>
      </c>
      <c r="O74" s="125">
        <v>0</v>
      </c>
      <c r="P74" s="125">
        <v>0</v>
      </c>
      <c r="Q74" s="125">
        <v>5</v>
      </c>
      <c r="R74" s="125">
        <v>7</v>
      </c>
      <c r="S74" s="125">
        <v>6</v>
      </c>
      <c r="T74" s="125">
        <v>1</v>
      </c>
      <c r="U74" s="125">
        <v>3</v>
      </c>
      <c r="V74" s="125">
        <v>3</v>
      </c>
      <c r="W74" s="125">
        <v>1</v>
      </c>
      <c r="X74" s="125">
        <v>2</v>
      </c>
      <c r="Y74" s="125">
        <v>2</v>
      </c>
      <c r="Z74" s="125">
        <v>10</v>
      </c>
      <c r="AA74" s="125">
        <v>0</v>
      </c>
      <c r="AB74" s="125">
        <v>0</v>
      </c>
      <c r="AC74" s="125">
        <v>0</v>
      </c>
      <c r="AD74" s="125">
        <v>0</v>
      </c>
      <c r="AE74" s="125">
        <v>0</v>
      </c>
      <c r="AF74" s="56"/>
      <c r="AG74" s="63">
        <f t="shared" si="33"/>
        <v>80</v>
      </c>
      <c r="AH74" s="63"/>
      <c r="AI74" s="63">
        <f t="shared" si="34"/>
        <v>80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3"/>
        <v>0</v>
      </c>
      <c r="AH75" s="70"/>
      <c r="AI75" s="63">
        <f t="shared" si="34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3"/>
        <v>0</v>
      </c>
      <c r="AH76" s="71"/>
      <c r="AI76" s="63">
        <f t="shared" si="34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3"/>
        <v>0</v>
      </c>
      <c r="AH77" s="63"/>
      <c r="AI77" s="63">
        <f t="shared" si="34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46113</v>
      </c>
      <c r="C79" s="54">
        <v>46114</v>
      </c>
      <c r="D79" s="54">
        <v>46115</v>
      </c>
      <c r="E79" s="54">
        <v>46116</v>
      </c>
      <c r="F79" s="54">
        <v>46117</v>
      </c>
      <c r="G79" s="54">
        <v>46118</v>
      </c>
      <c r="H79" s="54">
        <v>46119</v>
      </c>
      <c r="I79" s="54">
        <v>46120</v>
      </c>
      <c r="J79" s="54">
        <v>46121</v>
      </c>
      <c r="K79" s="54">
        <v>46122</v>
      </c>
      <c r="L79" s="54">
        <v>46123</v>
      </c>
      <c r="M79" s="54">
        <v>46124</v>
      </c>
      <c r="N79" s="54">
        <v>46125</v>
      </c>
      <c r="O79" s="54">
        <v>46126</v>
      </c>
      <c r="P79" s="54">
        <v>46127</v>
      </c>
      <c r="Q79" s="54">
        <v>46128</v>
      </c>
      <c r="R79" s="54">
        <v>46129</v>
      </c>
      <c r="S79" s="54">
        <v>46130</v>
      </c>
      <c r="T79" s="54">
        <v>46131</v>
      </c>
      <c r="U79" s="54">
        <v>46132</v>
      </c>
      <c r="V79" s="54">
        <v>46133</v>
      </c>
      <c r="W79" s="54">
        <v>46134</v>
      </c>
      <c r="X79" s="54">
        <v>46135</v>
      </c>
      <c r="Y79" s="54">
        <v>46136</v>
      </c>
      <c r="Z79" s="54">
        <v>46137</v>
      </c>
      <c r="AA79" s="54">
        <v>46138</v>
      </c>
      <c r="AB79" s="54">
        <v>46139</v>
      </c>
      <c r="AC79" s="54">
        <v>46140</v>
      </c>
      <c r="AD79" s="54">
        <v>46141</v>
      </c>
      <c r="AE79" s="54">
        <v>46142</v>
      </c>
      <c r="AF79" s="54"/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>
        <v>66</v>
      </c>
      <c r="C80" s="56">
        <v>42</v>
      </c>
      <c r="D80" s="56">
        <v>0</v>
      </c>
      <c r="E80" s="56">
        <v>84</v>
      </c>
      <c r="F80" s="56">
        <v>40</v>
      </c>
      <c r="G80" s="56">
        <v>37</v>
      </c>
      <c r="H80" s="56">
        <v>30</v>
      </c>
      <c r="I80" s="56">
        <v>36</v>
      </c>
      <c r="J80" s="56">
        <v>15</v>
      </c>
      <c r="K80" s="56">
        <v>25</v>
      </c>
      <c r="L80" s="56">
        <v>94</v>
      </c>
      <c r="M80" s="56">
        <v>40</v>
      </c>
      <c r="N80" s="56">
        <v>8</v>
      </c>
      <c r="O80" s="56">
        <v>16</v>
      </c>
      <c r="P80" s="56">
        <v>14</v>
      </c>
      <c r="Q80" s="56">
        <v>15</v>
      </c>
      <c r="R80" s="56">
        <v>33</v>
      </c>
      <c r="S80" s="56">
        <v>78</v>
      </c>
      <c r="T80" s="56">
        <v>43</v>
      </c>
      <c r="U80" s="56">
        <v>36</v>
      </c>
      <c r="V80" s="56">
        <v>34</v>
      </c>
      <c r="W80" s="56">
        <v>18</v>
      </c>
      <c r="X80" s="56">
        <v>22</v>
      </c>
      <c r="Y80" s="56"/>
      <c r="Z80" s="56">
        <v>79</v>
      </c>
      <c r="AA80" s="56">
        <v>30</v>
      </c>
      <c r="AB80" s="56">
        <v>26</v>
      </c>
      <c r="AC80" s="56">
        <v>25</v>
      </c>
      <c r="AD80" s="56">
        <v>21</v>
      </c>
      <c r="AE80" s="56">
        <v>43</v>
      </c>
      <c r="AF80" s="56"/>
      <c r="AG80" s="63">
        <f>SUM(B80:AF80)</f>
        <v>1050</v>
      </c>
      <c r="AH80" s="63"/>
      <c r="AI80" s="63">
        <f>AG80</f>
        <v>1050</v>
      </c>
    </row>
    <row r="81" spans="1:68" ht="21">
      <c r="A81" s="55" t="s">
        <v>21</v>
      </c>
      <c r="B81" s="56">
        <v>50</v>
      </c>
      <c r="C81" s="56">
        <v>23</v>
      </c>
      <c r="D81" s="56">
        <v>0</v>
      </c>
      <c r="E81" s="56">
        <v>41</v>
      </c>
      <c r="F81" s="56">
        <v>19</v>
      </c>
      <c r="G81" s="56">
        <v>25</v>
      </c>
      <c r="H81" s="56">
        <v>14</v>
      </c>
      <c r="I81" s="56">
        <v>16</v>
      </c>
      <c r="J81" s="56">
        <v>0</v>
      </c>
      <c r="K81" s="56">
        <v>0</v>
      </c>
      <c r="L81" s="56">
        <v>51</v>
      </c>
      <c r="M81" s="56">
        <v>22</v>
      </c>
      <c r="N81" s="56">
        <v>0</v>
      </c>
      <c r="O81" s="56">
        <v>0</v>
      </c>
      <c r="P81" s="56">
        <v>0</v>
      </c>
      <c r="Q81" s="56">
        <v>0</v>
      </c>
      <c r="R81" s="56">
        <v>18</v>
      </c>
      <c r="S81" s="56">
        <v>43</v>
      </c>
      <c r="T81" s="56">
        <v>25</v>
      </c>
      <c r="U81" s="56">
        <v>16</v>
      </c>
      <c r="V81" s="56">
        <v>24</v>
      </c>
      <c r="W81" s="56">
        <v>8</v>
      </c>
      <c r="X81" s="56">
        <v>11</v>
      </c>
      <c r="Y81" s="56">
        <v>16</v>
      </c>
      <c r="Z81" s="56">
        <v>34</v>
      </c>
      <c r="AA81" s="56">
        <v>9</v>
      </c>
      <c r="AB81" s="56">
        <v>13</v>
      </c>
      <c r="AC81" s="56">
        <v>9</v>
      </c>
      <c r="AD81" s="56">
        <v>9</v>
      </c>
      <c r="AE81" s="56">
        <v>16</v>
      </c>
      <c r="AF81" s="56"/>
      <c r="AG81" s="63">
        <f t="shared" ref="AG81:AG88" si="35">SUM(B81:AF81)</f>
        <v>512</v>
      </c>
      <c r="AH81" s="63"/>
      <c r="AI81" s="63">
        <f>AG81+AH83+AH84+AH85</f>
        <v>512</v>
      </c>
    </row>
    <row r="82" spans="1:68" ht="21">
      <c r="A82" s="55" t="s">
        <v>22</v>
      </c>
      <c r="B82" s="125">
        <v>44</v>
      </c>
      <c r="C82" s="125">
        <v>18</v>
      </c>
      <c r="D82" s="125">
        <v>0</v>
      </c>
      <c r="E82" s="125">
        <v>37</v>
      </c>
      <c r="F82" s="125">
        <v>19</v>
      </c>
      <c r="G82" s="125">
        <v>21</v>
      </c>
      <c r="H82" s="125">
        <v>14</v>
      </c>
      <c r="I82" s="125">
        <v>13</v>
      </c>
      <c r="J82" s="125">
        <v>0</v>
      </c>
      <c r="K82" s="125">
        <v>0</v>
      </c>
      <c r="L82" s="125">
        <v>45</v>
      </c>
      <c r="M82" s="125">
        <v>22</v>
      </c>
      <c r="N82" s="125">
        <v>0</v>
      </c>
      <c r="O82" s="125">
        <v>0</v>
      </c>
      <c r="P82" s="125">
        <v>0</v>
      </c>
      <c r="Q82" s="125">
        <v>0</v>
      </c>
      <c r="R82" s="125">
        <v>16</v>
      </c>
      <c r="S82" s="125">
        <v>35</v>
      </c>
      <c r="T82" s="125">
        <v>21</v>
      </c>
      <c r="U82" s="125">
        <v>15</v>
      </c>
      <c r="V82" s="125">
        <v>18</v>
      </c>
      <c r="W82" s="125">
        <v>8</v>
      </c>
      <c r="X82" s="125">
        <v>10</v>
      </c>
      <c r="Y82" s="125">
        <v>15</v>
      </c>
      <c r="Z82" s="125">
        <v>30</v>
      </c>
      <c r="AA82" s="125">
        <v>9</v>
      </c>
      <c r="AB82" s="125">
        <v>12</v>
      </c>
      <c r="AC82" s="125">
        <v>9</v>
      </c>
      <c r="AD82" s="125">
        <v>8</v>
      </c>
      <c r="AE82" s="125">
        <v>13</v>
      </c>
      <c r="AF82" s="56"/>
      <c r="AG82" s="63">
        <f t="shared" si="35"/>
        <v>452</v>
      </c>
      <c r="AH82" s="63"/>
      <c r="AI82" s="63">
        <f>AG82+AH83+AH84+AH85</f>
        <v>452</v>
      </c>
    </row>
    <row r="83" spans="1:68" ht="21">
      <c r="A83" s="55" t="s">
        <v>23</v>
      </c>
      <c r="B83" s="125">
        <v>2</v>
      </c>
      <c r="C83" s="125">
        <v>0</v>
      </c>
      <c r="D83" s="125">
        <v>0</v>
      </c>
      <c r="E83" s="125">
        <v>0</v>
      </c>
      <c r="F83" s="125">
        <v>0</v>
      </c>
      <c r="G83" s="125">
        <v>0</v>
      </c>
      <c r="H83" s="125">
        <v>0</v>
      </c>
      <c r="I83" s="125">
        <v>0</v>
      </c>
      <c r="J83" s="125">
        <v>0</v>
      </c>
      <c r="K83" s="125">
        <v>0</v>
      </c>
      <c r="L83" s="125">
        <v>1</v>
      </c>
      <c r="M83" s="125">
        <v>0</v>
      </c>
      <c r="N83" s="125">
        <v>0</v>
      </c>
      <c r="O83" s="125">
        <v>0</v>
      </c>
      <c r="P83" s="125">
        <v>0</v>
      </c>
      <c r="Q83" s="125">
        <v>0</v>
      </c>
      <c r="R83" s="125">
        <v>0</v>
      </c>
      <c r="S83" s="125">
        <v>1</v>
      </c>
      <c r="T83" s="125">
        <v>0</v>
      </c>
      <c r="U83" s="125">
        <v>0</v>
      </c>
      <c r="V83" s="125">
        <v>0</v>
      </c>
      <c r="W83" s="125">
        <v>0</v>
      </c>
      <c r="X83" s="125">
        <v>0</v>
      </c>
      <c r="Y83" s="125">
        <v>0</v>
      </c>
      <c r="Z83" s="125">
        <v>1</v>
      </c>
      <c r="AA83" s="125">
        <v>0</v>
      </c>
      <c r="AB83" s="125">
        <v>0</v>
      </c>
      <c r="AC83" s="125">
        <v>0</v>
      </c>
      <c r="AD83" s="125">
        <v>0</v>
      </c>
      <c r="AE83" s="125">
        <v>1</v>
      </c>
      <c r="AF83" s="56"/>
      <c r="AG83" s="63">
        <f t="shared" si="35"/>
        <v>6</v>
      </c>
      <c r="AH83" s="63"/>
      <c r="AI83" s="63">
        <f t="shared" ref="AI83:AI88" si="36">AG83-AH83</f>
        <v>6</v>
      </c>
    </row>
    <row r="84" spans="1:68" ht="21">
      <c r="A84" s="55" t="s">
        <v>24</v>
      </c>
      <c r="B84" s="125">
        <v>0</v>
      </c>
      <c r="C84" s="125">
        <v>0</v>
      </c>
      <c r="D84" s="125">
        <v>0</v>
      </c>
      <c r="E84" s="125">
        <v>0</v>
      </c>
      <c r="F84" s="125">
        <v>0</v>
      </c>
      <c r="G84" s="125">
        <v>0</v>
      </c>
      <c r="H84" s="125">
        <v>0</v>
      </c>
      <c r="I84" s="125">
        <v>0</v>
      </c>
      <c r="J84" s="125">
        <v>0</v>
      </c>
      <c r="K84" s="125">
        <v>0</v>
      </c>
      <c r="L84" s="125">
        <v>0</v>
      </c>
      <c r="M84" s="125">
        <v>0</v>
      </c>
      <c r="N84" s="125">
        <v>0</v>
      </c>
      <c r="O84" s="125">
        <v>0</v>
      </c>
      <c r="P84" s="125">
        <v>0</v>
      </c>
      <c r="Q84" s="125">
        <v>0</v>
      </c>
      <c r="R84" s="125">
        <v>0</v>
      </c>
      <c r="S84" s="125">
        <v>0</v>
      </c>
      <c r="T84" s="125">
        <v>0</v>
      </c>
      <c r="U84" s="125">
        <v>0</v>
      </c>
      <c r="V84" s="125">
        <v>0</v>
      </c>
      <c r="W84" s="125">
        <v>0</v>
      </c>
      <c r="X84" s="125">
        <v>0</v>
      </c>
      <c r="Y84" s="125">
        <v>0</v>
      </c>
      <c r="Z84" s="125">
        <v>0</v>
      </c>
      <c r="AA84" s="125">
        <v>0</v>
      </c>
      <c r="AB84" s="125">
        <v>0</v>
      </c>
      <c r="AC84" s="125">
        <v>0</v>
      </c>
      <c r="AD84" s="125">
        <v>0</v>
      </c>
      <c r="AE84" s="125">
        <v>0</v>
      </c>
      <c r="AF84" s="56"/>
      <c r="AG84" s="63">
        <f t="shared" si="35"/>
        <v>0</v>
      </c>
      <c r="AH84" s="63"/>
      <c r="AI84" s="63">
        <f t="shared" si="36"/>
        <v>0</v>
      </c>
    </row>
    <row r="85" spans="1:68" ht="21">
      <c r="A85" s="55" t="s">
        <v>26</v>
      </c>
      <c r="B85" s="125">
        <v>4</v>
      </c>
      <c r="C85" s="125">
        <v>5</v>
      </c>
      <c r="D85" s="125">
        <v>0</v>
      </c>
      <c r="E85" s="125">
        <v>4</v>
      </c>
      <c r="F85" s="125">
        <v>0</v>
      </c>
      <c r="G85" s="125">
        <v>4</v>
      </c>
      <c r="H85" s="125">
        <v>0</v>
      </c>
      <c r="I85" s="125">
        <v>3</v>
      </c>
      <c r="J85" s="125">
        <v>0</v>
      </c>
      <c r="K85" s="125">
        <v>0</v>
      </c>
      <c r="L85" s="125">
        <v>5</v>
      </c>
      <c r="M85" s="125">
        <v>0</v>
      </c>
      <c r="N85" s="125">
        <v>0</v>
      </c>
      <c r="O85" s="125">
        <v>0</v>
      </c>
      <c r="P85" s="125">
        <v>0</v>
      </c>
      <c r="Q85" s="125">
        <v>0</v>
      </c>
      <c r="R85" s="125">
        <v>2</v>
      </c>
      <c r="S85" s="125">
        <v>7</v>
      </c>
      <c r="T85" s="125">
        <v>4</v>
      </c>
      <c r="U85" s="125">
        <v>1</v>
      </c>
      <c r="V85" s="125">
        <v>6</v>
      </c>
      <c r="W85" s="125">
        <v>0</v>
      </c>
      <c r="X85" s="125">
        <v>1</v>
      </c>
      <c r="Y85" s="125">
        <v>1</v>
      </c>
      <c r="Z85" s="125">
        <v>3</v>
      </c>
      <c r="AA85" s="125">
        <v>0</v>
      </c>
      <c r="AB85" s="125">
        <v>1</v>
      </c>
      <c r="AC85" s="125">
        <v>0</v>
      </c>
      <c r="AD85" s="125">
        <v>1</v>
      </c>
      <c r="AE85" s="125">
        <v>2</v>
      </c>
      <c r="AF85" s="56"/>
      <c r="AG85" s="63">
        <f t="shared" si="35"/>
        <v>54</v>
      </c>
      <c r="AH85" s="63"/>
      <c r="AI85" s="63">
        <f t="shared" si="36"/>
        <v>54</v>
      </c>
    </row>
    <row r="86" spans="1:68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5"/>
        <v>0</v>
      </c>
      <c r="AH86" s="70"/>
      <c r="AI86" s="63">
        <f t="shared" si="36"/>
        <v>0</v>
      </c>
    </row>
    <row r="87" spans="1:68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5"/>
        <v>0</v>
      </c>
      <c r="AH87" s="71"/>
      <c r="AI87" s="63">
        <f t="shared" si="36"/>
        <v>0</v>
      </c>
    </row>
    <row r="88" spans="1:68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5"/>
        <v>0</v>
      </c>
      <c r="AH88" s="63"/>
      <c r="AI88" s="63">
        <f t="shared" si="36"/>
        <v>0</v>
      </c>
    </row>
    <row r="89" spans="1:68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AW89"/>
      <c r="BE89" s="3"/>
      <c r="BF89" s="41"/>
      <c r="BG89" s="41"/>
      <c r="BJ89" s="3"/>
      <c r="BK89" s="3"/>
      <c r="BL89" s="3"/>
      <c r="BM89" s="3"/>
      <c r="BN89" s="3"/>
      <c r="BO89" s="3"/>
      <c r="BP89" s="3"/>
    </row>
    <row r="90" spans="1:68" ht="21">
      <c r="A90" s="53"/>
      <c r="B90" s="54">
        <v>46113</v>
      </c>
      <c r="C90" s="54">
        <v>46114</v>
      </c>
      <c r="D90" s="54">
        <v>46115</v>
      </c>
      <c r="E90" s="54">
        <v>46116</v>
      </c>
      <c r="F90" s="54">
        <v>46117</v>
      </c>
      <c r="G90" s="54">
        <v>46118</v>
      </c>
      <c r="H90" s="54">
        <v>46119</v>
      </c>
      <c r="I90" s="54">
        <v>46120</v>
      </c>
      <c r="J90" s="54">
        <v>46121</v>
      </c>
      <c r="K90" s="54">
        <v>46122</v>
      </c>
      <c r="L90" s="54">
        <v>46123</v>
      </c>
      <c r="M90" s="54">
        <v>46124</v>
      </c>
      <c r="N90" s="54">
        <v>46125</v>
      </c>
      <c r="O90" s="54">
        <v>46126</v>
      </c>
      <c r="P90" s="54">
        <v>46127</v>
      </c>
      <c r="Q90" s="54">
        <v>46128</v>
      </c>
      <c r="R90" s="54">
        <v>46129</v>
      </c>
      <c r="S90" s="54">
        <v>46130</v>
      </c>
      <c r="T90" s="54">
        <v>46131</v>
      </c>
      <c r="U90" s="54">
        <v>46132</v>
      </c>
      <c r="V90" s="54">
        <v>46133</v>
      </c>
      <c r="W90" s="54">
        <v>46134</v>
      </c>
      <c r="X90" s="54">
        <v>46135</v>
      </c>
      <c r="Y90" s="54">
        <v>46136</v>
      </c>
      <c r="Z90" s="54">
        <v>46137</v>
      </c>
      <c r="AA90" s="54">
        <v>46138</v>
      </c>
      <c r="AB90" s="54">
        <v>46139</v>
      </c>
      <c r="AC90" s="54">
        <v>46140</v>
      </c>
      <c r="AD90" s="54">
        <v>46141</v>
      </c>
      <c r="AE90" s="54">
        <v>46142</v>
      </c>
      <c r="AF90" s="54"/>
      <c r="AG90" s="61" t="s">
        <v>2</v>
      </c>
      <c r="AH90" s="61" t="s">
        <v>3</v>
      </c>
      <c r="AI90" s="62" t="s">
        <v>59</v>
      </c>
    </row>
    <row r="91" spans="1:68" ht="21">
      <c r="A91" s="55" t="s">
        <v>56</v>
      </c>
      <c r="B91" s="56">
        <v>33</v>
      </c>
      <c r="C91" s="56">
        <v>47</v>
      </c>
      <c r="D91" s="56">
        <v>0</v>
      </c>
      <c r="E91" s="56">
        <v>60</v>
      </c>
      <c r="F91" s="56">
        <v>39</v>
      </c>
      <c r="G91" s="56">
        <v>31</v>
      </c>
      <c r="H91" s="56">
        <v>32</v>
      </c>
      <c r="I91" s="56">
        <v>33</v>
      </c>
      <c r="J91" s="56">
        <v>36</v>
      </c>
      <c r="K91" s="56">
        <v>68</v>
      </c>
      <c r="L91" s="56">
        <v>71</v>
      </c>
      <c r="M91" s="56">
        <v>31</v>
      </c>
      <c r="N91" s="56">
        <v>32</v>
      </c>
      <c r="O91" s="56">
        <v>29</v>
      </c>
      <c r="P91" s="56">
        <v>28</v>
      </c>
      <c r="Q91" s="56">
        <v>31</v>
      </c>
      <c r="R91" s="56">
        <v>61</v>
      </c>
      <c r="S91" s="56">
        <v>70</v>
      </c>
      <c r="T91" s="56">
        <v>31</v>
      </c>
      <c r="U91" s="56">
        <v>35</v>
      </c>
      <c r="V91" s="56">
        <v>31</v>
      </c>
      <c r="W91" s="56">
        <v>36</v>
      </c>
      <c r="X91" s="56">
        <v>35</v>
      </c>
      <c r="Y91" s="56">
        <v>71</v>
      </c>
      <c r="Z91" s="56">
        <v>84</v>
      </c>
      <c r="AA91" s="56">
        <v>41</v>
      </c>
      <c r="AB91" s="56">
        <v>35</v>
      </c>
      <c r="AC91" s="56">
        <v>29</v>
      </c>
      <c r="AD91" s="56">
        <v>51</v>
      </c>
      <c r="AE91" s="56">
        <v>51</v>
      </c>
      <c r="AF91" s="56"/>
      <c r="AG91" s="63">
        <f>SUM(B91:AF91)</f>
        <v>1262</v>
      </c>
      <c r="AH91" s="63"/>
      <c r="AI91" s="63">
        <f>AG91</f>
        <v>1262</v>
      </c>
    </row>
    <row r="92" spans="1:68" ht="21">
      <c r="A92" s="55" t="s">
        <v>21</v>
      </c>
      <c r="B92" s="56">
        <v>23</v>
      </c>
      <c r="C92" s="56">
        <v>22</v>
      </c>
      <c r="D92" s="56">
        <v>0</v>
      </c>
      <c r="E92" s="56">
        <v>36</v>
      </c>
      <c r="F92" s="56">
        <v>24</v>
      </c>
      <c r="G92" s="56">
        <v>16</v>
      </c>
      <c r="H92" s="56">
        <v>13</v>
      </c>
      <c r="I92" s="56">
        <v>13</v>
      </c>
      <c r="J92" s="56">
        <v>11</v>
      </c>
      <c r="K92" s="56">
        <v>31</v>
      </c>
      <c r="L92" s="56">
        <v>43</v>
      </c>
      <c r="M92" s="56">
        <v>21</v>
      </c>
      <c r="N92" s="56">
        <v>25</v>
      </c>
      <c r="O92" s="56">
        <v>14</v>
      </c>
      <c r="P92" s="56">
        <v>9</v>
      </c>
      <c r="Q92" s="56">
        <v>18</v>
      </c>
      <c r="R92" s="56">
        <v>29</v>
      </c>
      <c r="S92" s="56">
        <v>40</v>
      </c>
      <c r="T92" s="56">
        <v>19</v>
      </c>
      <c r="U92" s="56">
        <v>10</v>
      </c>
      <c r="V92" s="56">
        <v>14</v>
      </c>
      <c r="W92" s="56">
        <v>18</v>
      </c>
      <c r="X92" s="56">
        <v>19</v>
      </c>
      <c r="Y92" s="56">
        <v>29</v>
      </c>
      <c r="Z92" s="56">
        <v>41</v>
      </c>
      <c r="AA92" s="56">
        <v>23</v>
      </c>
      <c r="AB92" s="56">
        <v>19</v>
      </c>
      <c r="AC92" s="56">
        <v>19</v>
      </c>
      <c r="AD92" s="56">
        <v>18</v>
      </c>
      <c r="AE92" s="56">
        <v>24</v>
      </c>
      <c r="AF92" s="56"/>
      <c r="AG92" s="63">
        <f t="shared" ref="AG92:AG99" si="37">SUM(B92:AF92)</f>
        <v>641</v>
      </c>
      <c r="AH92" s="63"/>
      <c r="AI92" s="63">
        <f>AG92+AH94+AH95+AH96</f>
        <v>641</v>
      </c>
    </row>
    <row r="93" spans="1:68" ht="21">
      <c r="A93" s="55" t="s">
        <v>22</v>
      </c>
      <c r="B93" s="125">
        <v>23</v>
      </c>
      <c r="C93" s="125">
        <v>19</v>
      </c>
      <c r="D93" s="125">
        <v>0</v>
      </c>
      <c r="E93" s="125">
        <v>29</v>
      </c>
      <c r="F93" s="125">
        <v>24</v>
      </c>
      <c r="G93" s="125">
        <v>16</v>
      </c>
      <c r="H93" s="125">
        <v>13</v>
      </c>
      <c r="I93" s="125">
        <v>12</v>
      </c>
      <c r="J93" s="125">
        <v>11</v>
      </c>
      <c r="K93" s="125">
        <v>24</v>
      </c>
      <c r="L93" s="125">
        <v>34</v>
      </c>
      <c r="M93" s="125">
        <v>21</v>
      </c>
      <c r="N93" s="125">
        <v>24</v>
      </c>
      <c r="O93" s="125">
        <v>14</v>
      </c>
      <c r="P93" s="125">
        <v>9</v>
      </c>
      <c r="Q93" s="125">
        <v>18</v>
      </c>
      <c r="R93" s="125">
        <v>29</v>
      </c>
      <c r="S93" s="125">
        <v>40</v>
      </c>
      <c r="T93" s="125">
        <v>19</v>
      </c>
      <c r="U93" s="125">
        <v>9</v>
      </c>
      <c r="V93" s="125">
        <v>14</v>
      </c>
      <c r="W93" s="125">
        <v>18</v>
      </c>
      <c r="X93" s="125">
        <v>19</v>
      </c>
      <c r="Y93" s="125">
        <v>29</v>
      </c>
      <c r="Z93" s="125">
        <v>36</v>
      </c>
      <c r="AA93" s="125">
        <v>23</v>
      </c>
      <c r="AB93" s="125">
        <v>18</v>
      </c>
      <c r="AC93" s="125">
        <v>19</v>
      </c>
      <c r="AD93" s="125">
        <v>18</v>
      </c>
      <c r="AE93" s="125">
        <v>22</v>
      </c>
      <c r="AF93" s="56"/>
      <c r="AG93" s="63">
        <f t="shared" si="37"/>
        <v>604</v>
      </c>
      <c r="AH93" s="63"/>
      <c r="AI93" s="63">
        <f>AG93+AH94+AH95+AH96</f>
        <v>604</v>
      </c>
    </row>
    <row r="94" spans="1:68" ht="21">
      <c r="A94" s="55" t="s">
        <v>23</v>
      </c>
      <c r="B94" s="125">
        <v>0</v>
      </c>
      <c r="C94" s="125">
        <v>0</v>
      </c>
      <c r="D94" s="125">
        <v>0</v>
      </c>
      <c r="E94" s="125">
        <v>0</v>
      </c>
      <c r="F94" s="125">
        <v>0</v>
      </c>
      <c r="G94" s="125">
        <v>0</v>
      </c>
      <c r="H94" s="125">
        <v>0</v>
      </c>
      <c r="I94" s="125">
        <v>1</v>
      </c>
      <c r="J94" s="125">
        <v>0</v>
      </c>
      <c r="K94" s="125">
        <v>1</v>
      </c>
      <c r="L94" s="125">
        <v>1</v>
      </c>
      <c r="M94" s="125">
        <v>0</v>
      </c>
      <c r="N94" s="125">
        <v>1</v>
      </c>
      <c r="O94" s="125">
        <v>0</v>
      </c>
      <c r="P94" s="125">
        <v>0</v>
      </c>
      <c r="Q94" s="125">
        <v>0</v>
      </c>
      <c r="R94" s="125">
        <v>0</v>
      </c>
      <c r="S94" s="125">
        <v>0</v>
      </c>
      <c r="T94" s="125">
        <v>0</v>
      </c>
      <c r="U94" s="125">
        <v>1</v>
      </c>
      <c r="V94" s="125">
        <v>0</v>
      </c>
      <c r="W94" s="125">
        <v>0</v>
      </c>
      <c r="X94" s="125">
        <v>0</v>
      </c>
      <c r="Y94" s="125">
        <v>0</v>
      </c>
      <c r="Z94" s="125">
        <v>0</v>
      </c>
      <c r="AA94" s="125">
        <v>0</v>
      </c>
      <c r="AB94" s="125">
        <v>1</v>
      </c>
      <c r="AC94" s="125">
        <v>0</v>
      </c>
      <c r="AD94" s="125">
        <v>0</v>
      </c>
      <c r="AE94" s="125">
        <v>0</v>
      </c>
      <c r="AF94" s="56"/>
      <c r="AG94" s="63">
        <f t="shared" si="37"/>
        <v>6</v>
      </c>
      <c r="AH94" s="63"/>
      <c r="AI94" s="63">
        <f t="shared" ref="AI94:AI99" si="38">AG94-AH94</f>
        <v>6</v>
      </c>
    </row>
    <row r="95" spans="1:68" ht="21">
      <c r="A95" s="55" t="s">
        <v>24</v>
      </c>
      <c r="B95" s="125">
        <v>0</v>
      </c>
      <c r="C95" s="125">
        <v>0</v>
      </c>
      <c r="D95" s="125">
        <v>0</v>
      </c>
      <c r="E95" s="125">
        <v>0</v>
      </c>
      <c r="F95" s="125">
        <v>0</v>
      </c>
      <c r="G95" s="125">
        <v>0</v>
      </c>
      <c r="H95" s="125">
        <v>0</v>
      </c>
      <c r="I95" s="125">
        <v>0</v>
      </c>
      <c r="J95" s="125">
        <v>0</v>
      </c>
      <c r="K95" s="125">
        <v>0</v>
      </c>
      <c r="L95" s="125">
        <v>0</v>
      </c>
      <c r="M95" s="125">
        <v>0</v>
      </c>
      <c r="N95" s="125">
        <v>0</v>
      </c>
      <c r="O95" s="125">
        <v>0</v>
      </c>
      <c r="P95" s="125">
        <v>0</v>
      </c>
      <c r="Q95" s="125">
        <v>0</v>
      </c>
      <c r="R95" s="125">
        <v>0</v>
      </c>
      <c r="S95" s="125">
        <v>0</v>
      </c>
      <c r="T95" s="125">
        <v>0</v>
      </c>
      <c r="U95" s="125">
        <v>0</v>
      </c>
      <c r="V95" s="125">
        <v>0</v>
      </c>
      <c r="W95" s="125">
        <v>0</v>
      </c>
      <c r="X95" s="125">
        <v>0</v>
      </c>
      <c r="Y95" s="125">
        <v>0</v>
      </c>
      <c r="Z95" s="125">
        <v>0</v>
      </c>
      <c r="AA95" s="125">
        <v>0</v>
      </c>
      <c r="AB95" s="125">
        <v>0</v>
      </c>
      <c r="AC95" s="125">
        <v>0</v>
      </c>
      <c r="AD95" s="125">
        <v>0</v>
      </c>
      <c r="AE95" s="125">
        <v>0</v>
      </c>
      <c r="AF95" s="56"/>
      <c r="AG95" s="63">
        <f t="shared" si="37"/>
        <v>0</v>
      </c>
      <c r="AH95" s="63"/>
      <c r="AI95" s="63">
        <f t="shared" si="38"/>
        <v>0</v>
      </c>
    </row>
    <row r="96" spans="1:68" ht="21">
      <c r="A96" s="55" t="s">
        <v>26</v>
      </c>
      <c r="B96" s="125">
        <v>0</v>
      </c>
      <c r="C96" s="125">
        <v>3</v>
      </c>
      <c r="D96" s="125">
        <v>0</v>
      </c>
      <c r="E96" s="125">
        <v>7</v>
      </c>
      <c r="F96" s="125">
        <v>0</v>
      </c>
      <c r="G96" s="125">
        <v>0</v>
      </c>
      <c r="H96" s="125">
        <v>0</v>
      </c>
      <c r="I96" s="125">
        <v>0</v>
      </c>
      <c r="J96" s="125">
        <v>0</v>
      </c>
      <c r="K96" s="125">
        <v>6</v>
      </c>
      <c r="L96" s="125">
        <v>8</v>
      </c>
      <c r="M96" s="125">
        <v>0</v>
      </c>
      <c r="N96" s="125">
        <v>0</v>
      </c>
      <c r="O96" s="125">
        <v>0</v>
      </c>
      <c r="P96" s="125">
        <v>0</v>
      </c>
      <c r="Q96" s="125">
        <v>0</v>
      </c>
      <c r="R96" s="125">
        <v>0</v>
      </c>
      <c r="S96" s="125">
        <v>0</v>
      </c>
      <c r="T96" s="125">
        <v>0</v>
      </c>
      <c r="U96" s="125">
        <v>0</v>
      </c>
      <c r="V96" s="125">
        <v>0</v>
      </c>
      <c r="W96" s="125">
        <v>0</v>
      </c>
      <c r="X96" s="125">
        <v>0</v>
      </c>
      <c r="Y96" s="125">
        <v>0</v>
      </c>
      <c r="Z96" s="125">
        <v>5</v>
      </c>
      <c r="AA96" s="125">
        <v>0</v>
      </c>
      <c r="AB96" s="125">
        <v>0</v>
      </c>
      <c r="AC96" s="125">
        <v>0</v>
      </c>
      <c r="AD96" s="125">
        <v>0</v>
      </c>
      <c r="AE96" s="125">
        <v>2</v>
      </c>
      <c r="AF96" s="56"/>
      <c r="AG96" s="63">
        <f t="shared" si="37"/>
        <v>31</v>
      </c>
      <c r="AH96" s="63"/>
      <c r="AI96" s="63">
        <f t="shared" si="38"/>
        <v>31</v>
      </c>
    </row>
    <row r="97" spans="1:76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7"/>
        <v>0</v>
      </c>
      <c r="AH97" s="70"/>
      <c r="AI97" s="63">
        <f t="shared" si="38"/>
        <v>0</v>
      </c>
    </row>
    <row r="98" spans="1:76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7"/>
        <v>0</v>
      </c>
      <c r="AH98" s="71"/>
      <c r="AI98" s="63">
        <f t="shared" si="38"/>
        <v>0</v>
      </c>
    </row>
    <row r="99" spans="1:76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7"/>
        <v>0</v>
      </c>
      <c r="AH99" s="63"/>
      <c r="AI99" s="63">
        <f t="shared" si="38"/>
        <v>0</v>
      </c>
    </row>
    <row r="100" spans="1:76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AW100"/>
      <c r="BE100" s="3"/>
      <c r="BF100" s="41"/>
      <c r="BG100" s="41"/>
      <c r="BJ100" s="3"/>
      <c r="BK100" s="3"/>
      <c r="BL100" s="3"/>
      <c r="BM100" s="3"/>
      <c r="BN100" s="3"/>
      <c r="BO100" s="3"/>
      <c r="BP100" s="3"/>
    </row>
    <row r="101" spans="1:76" ht="21">
      <c r="A101" s="53"/>
      <c r="B101" s="54">
        <v>46113</v>
      </c>
      <c r="C101" s="54">
        <v>46114</v>
      </c>
      <c r="D101" s="54">
        <v>46115</v>
      </c>
      <c r="E101" s="54">
        <v>46116</v>
      </c>
      <c r="F101" s="54">
        <v>46117</v>
      </c>
      <c r="G101" s="54">
        <v>46118</v>
      </c>
      <c r="H101" s="54">
        <v>46119</v>
      </c>
      <c r="I101" s="54">
        <v>46120</v>
      </c>
      <c r="J101" s="54">
        <v>46121</v>
      </c>
      <c r="K101" s="54">
        <v>46122</v>
      </c>
      <c r="L101" s="54">
        <v>46123</v>
      </c>
      <c r="M101" s="54">
        <v>46124</v>
      </c>
      <c r="N101" s="54">
        <v>46125</v>
      </c>
      <c r="O101" s="54">
        <v>46126</v>
      </c>
      <c r="P101" s="54">
        <v>46127</v>
      </c>
      <c r="Q101" s="54">
        <v>46128</v>
      </c>
      <c r="R101" s="54">
        <v>46129</v>
      </c>
      <c r="S101" s="54">
        <v>46130</v>
      </c>
      <c r="T101" s="54">
        <v>46131</v>
      </c>
      <c r="U101" s="54">
        <v>46132</v>
      </c>
      <c r="V101" s="54">
        <v>46133</v>
      </c>
      <c r="W101" s="54">
        <v>46134</v>
      </c>
      <c r="X101" s="54">
        <v>46135</v>
      </c>
      <c r="Y101" s="54">
        <v>46136</v>
      </c>
      <c r="Z101" s="54">
        <v>46137</v>
      </c>
      <c r="AA101" s="54">
        <v>46138</v>
      </c>
      <c r="AB101" s="54">
        <v>46139</v>
      </c>
      <c r="AC101" s="54">
        <v>46140</v>
      </c>
      <c r="AD101" s="54">
        <v>46141</v>
      </c>
      <c r="AE101" s="54">
        <v>46142</v>
      </c>
      <c r="AF101" s="54"/>
      <c r="AG101" s="61" t="s">
        <v>2</v>
      </c>
      <c r="AH101" s="61" t="s">
        <v>3</v>
      </c>
      <c r="AI101" s="62" t="s">
        <v>61</v>
      </c>
    </row>
    <row r="102" spans="1:76" ht="21">
      <c r="A102" s="55" t="s">
        <v>56</v>
      </c>
      <c r="B102" s="56">
        <v>49</v>
      </c>
      <c r="C102" s="56">
        <v>39</v>
      </c>
      <c r="D102" s="56">
        <v>0</v>
      </c>
      <c r="E102" s="56">
        <v>84</v>
      </c>
      <c r="F102" s="56">
        <v>0</v>
      </c>
      <c r="G102" s="56">
        <v>32</v>
      </c>
      <c r="H102" s="56">
        <v>30</v>
      </c>
      <c r="I102" s="56">
        <v>33</v>
      </c>
      <c r="J102" s="56">
        <v>43</v>
      </c>
      <c r="K102" s="56">
        <v>71</v>
      </c>
      <c r="L102" s="56">
        <v>61</v>
      </c>
      <c r="M102" s="56">
        <v>0</v>
      </c>
      <c r="N102" s="56">
        <v>29</v>
      </c>
      <c r="O102" s="56">
        <v>38</v>
      </c>
      <c r="P102" s="56">
        <v>34</v>
      </c>
      <c r="Q102" s="56">
        <v>31</v>
      </c>
      <c r="R102" s="56">
        <v>72</v>
      </c>
      <c r="S102" s="56">
        <v>62</v>
      </c>
      <c r="T102" s="56">
        <v>4</v>
      </c>
      <c r="U102" s="56">
        <v>23</v>
      </c>
      <c r="V102" s="56">
        <v>16</v>
      </c>
      <c r="W102" s="56">
        <v>30</v>
      </c>
      <c r="X102" s="56">
        <v>25</v>
      </c>
      <c r="Y102" s="56">
        <v>72</v>
      </c>
      <c r="Z102" s="56">
        <v>61</v>
      </c>
      <c r="AA102" s="56">
        <v>0</v>
      </c>
      <c r="AB102" s="56">
        <v>27</v>
      </c>
      <c r="AC102" s="56">
        <v>23</v>
      </c>
      <c r="AD102" s="56">
        <v>19</v>
      </c>
      <c r="AE102" s="56">
        <v>54</v>
      </c>
      <c r="AF102" s="56"/>
      <c r="AG102" s="63">
        <f>SUM(B102:AF102)</f>
        <v>1062</v>
      </c>
      <c r="AH102" s="63"/>
      <c r="AI102" s="63">
        <f>AG102</f>
        <v>1062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2"/>
      <c r="BW102" s="122"/>
      <c r="BX102" s="123"/>
    </row>
    <row r="103" spans="1:76" ht="21">
      <c r="A103" s="55" t="s">
        <v>21</v>
      </c>
      <c r="B103" s="56">
        <v>26</v>
      </c>
      <c r="C103" s="56">
        <v>20</v>
      </c>
      <c r="D103" s="56">
        <v>0</v>
      </c>
      <c r="E103" s="56">
        <v>56</v>
      </c>
      <c r="F103" s="56">
        <v>0</v>
      </c>
      <c r="G103" s="56">
        <v>12</v>
      </c>
      <c r="H103" s="56">
        <v>12</v>
      </c>
      <c r="I103" s="56">
        <v>14</v>
      </c>
      <c r="J103" s="56">
        <v>17</v>
      </c>
      <c r="K103" s="56">
        <v>31</v>
      </c>
      <c r="L103" s="56">
        <v>44</v>
      </c>
      <c r="M103" s="56">
        <v>0</v>
      </c>
      <c r="N103" s="56">
        <v>11</v>
      </c>
      <c r="O103" s="56">
        <v>16</v>
      </c>
      <c r="P103" s="56">
        <v>9</v>
      </c>
      <c r="Q103" s="56">
        <v>14</v>
      </c>
      <c r="R103" s="56">
        <v>19</v>
      </c>
      <c r="S103" s="56">
        <v>32</v>
      </c>
      <c r="T103" s="56">
        <v>0</v>
      </c>
      <c r="U103" s="56">
        <v>9</v>
      </c>
      <c r="V103" s="56">
        <v>6</v>
      </c>
      <c r="W103" s="56">
        <v>16</v>
      </c>
      <c r="X103" s="56">
        <v>13</v>
      </c>
      <c r="Y103" s="56">
        <v>26</v>
      </c>
      <c r="Z103" s="56">
        <v>39</v>
      </c>
      <c r="AA103" s="56">
        <v>0</v>
      </c>
      <c r="AB103" s="56">
        <v>14</v>
      </c>
      <c r="AC103" s="56">
        <v>9</v>
      </c>
      <c r="AD103" s="56">
        <v>4</v>
      </c>
      <c r="AE103" s="56">
        <v>24</v>
      </c>
      <c r="AF103" s="56"/>
      <c r="AG103" s="63">
        <f t="shared" ref="AG103:AG110" si="39">SUM(B103:AF103)</f>
        <v>493</v>
      </c>
      <c r="AH103" s="63"/>
      <c r="AI103" s="63">
        <f>AG103+AH105+AH106+AH107</f>
        <v>493</v>
      </c>
      <c r="BF103"/>
      <c r="BG103"/>
      <c r="BH103"/>
      <c r="BI103"/>
    </row>
    <row r="104" spans="1:76" ht="21">
      <c r="A104" s="55" t="s">
        <v>22</v>
      </c>
      <c r="B104" s="125">
        <v>25</v>
      </c>
      <c r="C104" s="125">
        <v>19</v>
      </c>
      <c r="D104" s="125">
        <v>0</v>
      </c>
      <c r="E104" s="125">
        <v>50</v>
      </c>
      <c r="F104" s="125">
        <v>0</v>
      </c>
      <c r="G104" s="125">
        <v>12</v>
      </c>
      <c r="H104" s="125">
        <v>12</v>
      </c>
      <c r="I104" s="125">
        <v>14</v>
      </c>
      <c r="J104" s="125">
        <v>17</v>
      </c>
      <c r="K104" s="125">
        <v>29</v>
      </c>
      <c r="L104" s="125">
        <v>43</v>
      </c>
      <c r="M104" s="125">
        <v>0</v>
      </c>
      <c r="N104" s="125">
        <v>11</v>
      </c>
      <c r="O104" s="125">
        <v>15</v>
      </c>
      <c r="P104" s="125">
        <v>9</v>
      </c>
      <c r="Q104" s="125">
        <v>14</v>
      </c>
      <c r="R104" s="125">
        <v>19</v>
      </c>
      <c r="S104" s="125">
        <v>32</v>
      </c>
      <c r="T104" s="125">
        <v>0</v>
      </c>
      <c r="U104" s="125">
        <v>9</v>
      </c>
      <c r="V104" s="125">
        <v>6</v>
      </c>
      <c r="W104" s="125">
        <v>16</v>
      </c>
      <c r="X104" s="125">
        <v>13</v>
      </c>
      <c r="Y104" s="125">
        <v>26</v>
      </c>
      <c r="Z104" s="125">
        <v>38</v>
      </c>
      <c r="AA104" s="125">
        <v>0</v>
      </c>
      <c r="AB104" s="125">
        <v>14</v>
      </c>
      <c r="AC104" s="125">
        <v>9</v>
      </c>
      <c r="AD104" s="125">
        <v>4</v>
      </c>
      <c r="AE104" s="125">
        <v>24</v>
      </c>
      <c r="AF104" s="56"/>
      <c r="AG104" s="63">
        <f t="shared" si="39"/>
        <v>480</v>
      </c>
      <c r="AH104" s="63"/>
      <c r="AI104" s="63">
        <f>AG104+AH105+AH106+AH107</f>
        <v>480</v>
      </c>
    </row>
    <row r="105" spans="1:76" ht="21">
      <c r="A105" s="55" t="s">
        <v>23</v>
      </c>
      <c r="B105" s="125">
        <v>0</v>
      </c>
      <c r="C105" s="125">
        <v>1</v>
      </c>
      <c r="D105" s="125">
        <v>0</v>
      </c>
      <c r="E105" s="125">
        <v>0</v>
      </c>
      <c r="F105" s="125">
        <v>0</v>
      </c>
      <c r="G105" s="125">
        <v>0</v>
      </c>
      <c r="H105" s="125">
        <v>0</v>
      </c>
      <c r="I105" s="125">
        <v>0</v>
      </c>
      <c r="J105" s="125">
        <v>0</v>
      </c>
      <c r="K105" s="125">
        <v>0</v>
      </c>
      <c r="L105" s="125">
        <v>0</v>
      </c>
      <c r="M105" s="125">
        <v>0</v>
      </c>
      <c r="N105" s="125">
        <v>0</v>
      </c>
      <c r="O105" s="125">
        <v>1</v>
      </c>
      <c r="P105" s="125">
        <v>0</v>
      </c>
      <c r="Q105" s="125">
        <v>0</v>
      </c>
      <c r="R105" s="125">
        <v>0</v>
      </c>
      <c r="S105" s="125">
        <v>0</v>
      </c>
      <c r="T105" s="125">
        <v>0</v>
      </c>
      <c r="U105" s="125">
        <v>0</v>
      </c>
      <c r="V105" s="125">
        <v>0</v>
      </c>
      <c r="W105" s="125">
        <v>0</v>
      </c>
      <c r="X105" s="125">
        <v>0</v>
      </c>
      <c r="Y105" s="125">
        <v>0</v>
      </c>
      <c r="Z105" s="125">
        <v>1</v>
      </c>
      <c r="AA105" s="125">
        <v>0</v>
      </c>
      <c r="AB105" s="125">
        <v>0</v>
      </c>
      <c r="AC105" s="125">
        <v>0</v>
      </c>
      <c r="AD105" s="125">
        <v>0</v>
      </c>
      <c r="AE105" s="125">
        <v>0</v>
      </c>
      <c r="AF105" s="56"/>
      <c r="AG105" s="63">
        <f t="shared" si="39"/>
        <v>3</v>
      </c>
      <c r="AH105" s="63"/>
      <c r="AI105" s="63">
        <f t="shared" ref="AI105:AI110" si="40">AG105-AH105</f>
        <v>3</v>
      </c>
    </row>
    <row r="106" spans="1:76" ht="21">
      <c r="A106" s="55" t="s">
        <v>24</v>
      </c>
      <c r="B106" s="125">
        <v>0</v>
      </c>
      <c r="C106" s="125">
        <v>0</v>
      </c>
      <c r="D106" s="125">
        <v>0</v>
      </c>
      <c r="E106" s="125">
        <v>0</v>
      </c>
      <c r="F106" s="125">
        <v>0</v>
      </c>
      <c r="G106" s="125">
        <v>0</v>
      </c>
      <c r="H106" s="125">
        <v>0</v>
      </c>
      <c r="I106" s="125">
        <v>0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0</v>
      </c>
      <c r="R106" s="125">
        <v>0</v>
      </c>
      <c r="S106" s="125">
        <v>0</v>
      </c>
      <c r="T106" s="125">
        <v>0</v>
      </c>
      <c r="U106" s="125">
        <v>0</v>
      </c>
      <c r="V106" s="125">
        <v>0</v>
      </c>
      <c r="W106" s="125">
        <v>0</v>
      </c>
      <c r="X106" s="125">
        <v>0</v>
      </c>
      <c r="Y106" s="125">
        <v>0</v>
      </c>
      <c r="Z106" s="125">
        <v>0</v>
      </c>
      <c r="AA106" s="125">
        <v>0</v>
      </c>
      <c r="AB106" s="125">
        <v>0</v>
      </c>
      <c r="AC106" s="125">
        <v>0</v>
      </c>
      <c r="AD106" s="125">
        <v>0</v>
      </c>
      <c r="AE106" s="125">
        <v>0</v>
      </c>
      <c r="AF106" s="56"/>
      <c r="AG106" s="63">
        <f t="shared" si="39"/>
        <v>0</v>
      </c>
      <c r="AH106" s="63"/>
      <c r="AI106" s="63">
        <f t="shared" si="40"/>
        <v>0</v>
      </c>
    </row>
    <row r="107" spans="1:76" ht="21">
      <c r="A107" s="55" t="s">
        <v>26</v>
      </c>
      <c r="B107" s="125">
        <v>1</v>
      </c>
      <c r="C107" s="125">
        <v>0</v>
      </c>
      <c r="D107" s="125">
        <v>0</v>
      </c>
      <c r="E107" s="125">
        <v>6</v>
      </c>
      <c r="F107" s="125">
        <v>0</v>
      </c>
      <c r="G107" s="125">
        <v>0</v>
      </c>
      <c r="H107" s="125">
        <v>0</v>
      </c>
      <c r="I107" s="125">
        <v>0</v>
      </c>
      <c r="J107" s="125">
        <v>0</v>
      </c>
      <c r="K107" s="125">
        <v>2</v>
      </c>
      <c r="L107" s="125">
        <v>1</v>
      </c>
      <c r="M107" s="125">
        <v>0</v>
      </c>
      <c r="N107" s="125">
        <v>0</v>
      </c>
      <c r="O107" s="125">
        <v>0</v>
      </c>
      <c r="P107" s="125">
        <v>0</v>
      </c>
      <c r="Q107" s="125">
        <v>0</v>
      </c>
      <c r="R107" s="125">
        <v>0</v>
      </c>
      <c r="S107" s="125">
        <v>0</v>
      </c>
      <c r="T107" s="125">
        <v>0</v>
      </c>
      <c r="U107" s="125">
        <v>0</v>
      </c>
      <c r="V107" s="125">
        <v>0</v>
      </c>
      <c r="W107" s="125">
        <v>0</v>
      </c>
      <c r="X107" s="125">
        <v>0</v>
      </c>
      <c r="Y107" s="125">
        <v>0</v>
      </c>
      <c r="Z107" s="125">
        <v>0</v>
      </c>
      <c r="AA107" s="125">
        <v>0</v>
      </c>
      <c r="AB107" s="125">
        <v>0</v>
      </c>
      <c r="AC107" s="125">
        <v>0</v>
      </c>
      <c r="AD107" s="125">
        <v>0</v>
      </c>
      <c r="AE107" s="125">
        <v>0</v>
      </c>
      <c r="AF107" s="56"/>
      <c r="AG107" s="63">
        <f t="shared" si="39"/>
        <v>10</v>
      </c>
      <c r="AH107" s="63"/>
      <c r="AI107" s="63">
        <f t="shared" si="40"/>
        <v>10</v>
      </c>
    </row>
    <row r="108" spans="1:76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9"/>
        <v>0</v>
      </c>
      <c r="AH108" s="70"/>
      <c r="AI108" s="63">
        <f t="shared" si="40"/>
        <v>0</v>
      </c>
    </row>
    <row r="109" spans="1:76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9"/>
        <v>0</v>
      </c>
      <c r="AH109" s="71"/>
      <c r="AI109" s="63">
        <f t="shared" si="40"/>
        <v>0</v>
      </c>
    </row>
    <row r="110" spans="1:76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9"/>
        <v>0</v>
      </c>
      <c r="AH110" s="63"/>
      <c r="AI110" s="63">
        <f t="shared" si="40"/>
        <v>0</v>
      </c>
    </row>
    <row r="113" spans="1:76" ht="23.25">
      <c r="A113" s="250" t="s">
        <v>303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59"/>
      <c r="AI113" s="60"/>
      <c r="AL113"/>
      <c r="AM113"/>
      <c r="AN113"/>
      <c r="AO113"/>
      <c r="AP113"/>
      <c r="AQ113"/>
      <c r="AR113"/>
      <c r="AS113"/>
      <c r="AT113"/>
      <c r="AU113"/>
      <c r="AV113"/>
      <c r="AW113"/>
      <c r="BE113" s="3"/>
      <c r="BF113" s="41"/>
      <c r="BG113" s="41"/>
      <c r="BJ113" s="3"/>
      <c r="BK113" s="3"/>
      <c r="BL113" s="3"/>
      <c r="BM113" s="3"/>
      <c r="BN113" s="3"/>
      <c r="BO113" s="3"/>
      <c r="BP113" s="3"/>
    </row>
    <row r="114" spans="1:76" ht="21">
      <c r="A114" s="53"/>
      <c r="B114" s="54">
        <v>46113</v>
      </c>
      <c r="C114" s="54">
        <v>46114</v>
      </c>
      <c r="D114" s="54">
        <v>46115</v>
      </c>
      <c r="E114" s="54">
        <v>46116</v>
      </c>
      <c r="F114" s="54">
        <v>46117</v>
      </c>
      <c r="G114" s="54">
        <v>46118</v>
      </c>
      <c r="H114" s="54">
        <v>46119</v>
      </c>
      <c r="I114" s="54">
        <v>46120</v>
      </c>
      <c r="J114" s="54">
        <v>46121</v>
      </c>
      <c r="K114" s="54">
        <v>46122</v>
      </c>
      <c r="L114" s="54">
        <v>46123</v>
      </c>
      <c r="M114" s="54">
        <v>46124</v>
      </c>
      <c r="N114" s="54">
        <v>46125</v>
      </c>
      <c r="O114" s="54">
        <v>46126</v>
      </c>
      <c r="P114" s="54">
        <v>46127</v>
      </c>
      <c r="Q114" s="54">
        <v>46128</v>
      </c>
      <c r="R114" s="54">
        <v>46129</v>
      </c>
      <c r="S114" s="54">
        <v>46130</v>
      </c>
      <c r="T114" s="54">
        <v>46131</v>
      </c>
      <c r="U114" s="54">
        <v>46132</v>
      </c>
      <c r="V114" s="54">
        <v>46133</v>
      </c>
      <c r="W114" s="54">
        <v>46134</v>
      </c>
      <c r="X114" s="54">
        <v>46135</v>
      </c>
      <c r="Y114" s="54">
        <v>46136</v>
      </c>
      <c r="Z114" s="54">
        <v>46137</v>
      </c>
      <c r="AA114" s="54">
        <v>46138</v>
      </c>
      <c r="AB114" s="54">
        <v>46139</v>
      </c>
      <c r="AC114" s="54">
        <v>46140</v>
      </c>
      <c r="AD114" s="54">
        <v>46141</v>
      </c>
      <c r="AE114" s="54">
        <v>46142</v>
      </c>
      <c r="AF114" s="54"/>
      <c r="AG114" s="61" t="s">
        <v>2</v>
      </c>
      <c r="AH114" s="61" t="s">
        <v>3</v>
      </c>
      <c r="AI114" s="62" t="s">
        <v>304</v>
      </c>
    </row>
    <row r="115" spans="1:76" ht="21">
      <c r="A115" s="55" t="s">
        <v>56</v>
      </c>
      <c r="B115" s="56"/>
      <c r="C115" s="56"/>
      <c r="D115" s="56"/>
      <c r="E115" s="56">
        <v>7</v>
      </c>
      <c r="F115" s="56"/>
      <c r="G115" s="56">
        <v>5</v>
      </c>
      <c r="H115" s="56">
        <v>7</v>
      </c>
      <c r="I115" s="56"/>
      <c r="J115" s="56">
        <v>22</v>
      </c>
      <c r="K115" s="56">
        <v>26</v>
      </c>
      <c r="L115" s="56">
        <v>12</v>
      </c>
      <c r="M115" s="56">
        <v>12</v>
      </c>
      <c r="N115" s="56">
        <v>15</v>
      </c>
      <c r="O115" s="56">
        <v>19</v>
      </c>
      <c r="P115" s="56">
        <v>22</v>
      </c>
      <c r="Q115" s="56">
        <v>21</v>
      </c>
      <c r="R115" s="56">
        <v>23</v>
      </c>
      <c r="S115" s="56">
        <v>35</v>
      </c>
      <c r="T115" s="56">
        <v>9</v>
      </c>
      <c r="U115" s="56">
        <v>10</v>
      </c>
      <c r="V115" s="56">
        <v>9</v>
      </c>
      <c r="W115" s="56">
        <v>9</v>
      </c>
      <c r="X115" s="56">
        <v>8</v>
      </c>
      <c r="Y115" s="56">
        <v>4</v>
      </c>
      <c r="Z115" s="56">
        <v>25</v>
      </c>
      <c r="AA115" s="56">
        <v>14</v>
      </c>
      <c r="AB115" s="56">
        <v>8</v>
      </c>
      <c r="AC115" s="56">
        <v>12</v>
      </c>
      <c r="AD115" s="56">
        <v>9</v>
      </c>
      <c r="AE115" s="56">
        <v>11</v>
      </c>
      <c r="AF115" s="56"/>
      <c r="AG115" s="63">
        <f>SUM(B115:AF115)</f>
        <v>354</v>
      </c>
      <c r="AH115" s="63"/>
      <c r="AI115" s="63">
        <f>AG115</f>
        <v>354</v>
      </c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2"/>
      <c r="BW115" s="122"/>
      <c r="BX115" s="123"/>
    </row>
    <row r="116" spans="1:76" ht="21">
      <c r="A116" s="55" t="s">
        <v>21</v>
      </c>
      <c r="B116" s="56"/>
      <c r="C116" s="56"/>
      <c r="D116" s="56"/>
      <c r="E116" s="56"/>
      <c r="F116" s="56"/>
      <c r="G116" s="56"/>
      <c r="H116" s="56"/>
      <c r="I116" s="56"/>
      <c r="J116" s="56">
        <v>13</v>
      </c>
      <c r="K116" s="56">
        <v>19</v>
      </c>
      <c r="L116" s="56"/>
      <c r="M116" s="56">
        <v>4</v>
      </c>
      <c r="N116" s="56">
        <v>11</v>
      </c>
      <c r="O116" s="56">
        <v>10</v>
      </c>
      <c r="P116" s="56">
        <v>15</v>
      </c>
      <c r="Q116" s="56">
        <v>12</v>
      </c>
      <c r="R116" s="56">
        <v>14</v>
      </c>
      <c r="S116" s="56">
        <v>20</v>
      </c>
      <c r="T116" s="56">
        <v>2</v>
      </c>
      <c r="U116" s="56">
        <v>4</v>
      </c>
      <c r="V116" s="56">
        <v>0</v>
      </c>
      <c r="W116" s="56">
        <v>5</v>
      </c>
      <c r="X116" s="56">
        <v>3</v>
      </c>
      <c r="Y116" s="56">
        <v>2</v>
      </c>
      <c r="Z116" s="56">
        <v>5</v>
      </c>
      <c r="AA116" s="56">
        <v>10</v>
      </c>
      <c r="AB116" s="56">
        <v>1</v>
      </c>
      <c r="AC116" s="56">
        <v>4</v>
      </c>
      <c r="AD116" s="56">
        <v>5</v>
      </c>
      <c r="AE116" s="56">
        <v>7</v>
      </c>
      <c r="AF116" s="56"/>
      <c r="AG116" s="63">
        <f t="shared" ref="AG116:AG123" si="41">SUM(B116:AF116)</f>
        <v>166</v>
      </c>
      <c r="AH116" s="63"/>
      <c r="AI116" s="63">
        <f>AG116+AH118+AH119+AH120</f>
        <v>166</v>
      </c>
      <c r="BF116"/>
      <c r="BG116"/>
      <c r="BH116"/>
      <c r="BI116"/>
    </row>
    <row r="117" spans="1:76" ht="21">
      <c r="A117" s="55" t="s">
        <v>22</v>
      </c>
      <c r="B117" s="125"/>
      <c r="C117" s="125"/>
      <c r="D117" s="125"/>
      <c r="E117" s="125"/>
      <c r="F117" s="125"/>
      <c r="G117" s="125"/>
      <c r="H117" s="125"/>
      <c r="I117" s="125"/>
      <c r="J117" s="125">
        <v>12</v>
      </c>
      <c r="K117" s="125">
        <v>15</v>
      </c>
      <c r="L117" s="125"/>
      <c r="M117" s="125">
        <v>4</v>
      </c>
      <c r="N117" s="125">
        <v>7</v>
      </c>
      <c r="O117" s="125">
        <v>8</v>
      </c>
      <c r="P117" s="125">
        <v>13</v>
      </c>
      <c r="Q117" s="125">
        <v>10</v>
      </c>
      <c r="R117" s="125">
        <v>11</v>
      </c>
      <c r="S117" s="125">
        <v>18</v>
      </c>
      <c r="T117" s="125">
        <v>2</v>
      </c>
      <c r="U117" s="125">
        <v>4</v>
      </c>
      <c r="V117" s="125">
        <v>0</v>
      </c>
      <c r="W117" s="125">
        <v>2</v>
      </c>
      <c r="X117" s="125">
        <v>2</v>
      </c>
      <c r="Y117" s="125">
        <v>2</v>
      </c>
      <c r="Z117" s="125">
        <v>5</v>
      </c>
      <c r="AA117" s="125">
        <v>10</v>
      </c>
      <c r="AB117" s="125">
        <v>1</v>
      </c>
      <c r="AC117" s="125">
        <v>4</v>
      </c>
      <c r="AD117" s="125">
        <v>5</v>
      </c>
      <c r="AE117" s="125">
        <v>4</v>
      </c>
      <c r="AF117" s="56"/>
      <c r="AG117" s="63">
        <f t="shared" si="41"/>
        <v>139</v>
      </c>
      <c r="AH117" s="63"/>
      <c r="AI117" s="63">
        <f>AG117+AH118+AH119+AH120</f>
        <v>139</v>
      </c>
    </row>
    <row r="118" spans="1:76" ht="21">
      <c r="A118" s="55" t="s">
        <v>23</v>
      </c>
      <c r="B118" s="125"/>
      <c r="C118" s="125"/>
      <c r="D118" s="125"/>
      <c r="E118" s="125"/>
      <c r="F118" s="125"/>
      <c r="G118" s="125"/>
      <c r="H118" s="125"/>
      <c r="I118" s="125"/>
      <c r="J118" s="125">
        <v>1</v>
      </c>
      <c r="K118" s="125">
        <v>0</v>
      </c>
      <c r="L118" s="125"/>
      <c r="M118" s="125">
        <v>0</v>
      </c>
      <c r="N118" s="125">
        <v>1</v>
      </c>
      <c r="O118" s="125">
        <v>0</v>
      </c>
      <c r="P118" s="125">
        <v>0</v>
      </c>
      <c r="Q118" s="125">
        <v>1</v>
      </c>
      <c r="R118" s="125">
        <v>0</v>
      </c>
      <c r="S118" s="125">
        <v>0</v>
      </c>
      <c r="T118" s="125">
        <v>0</v>
      </c>
      <c r="U118" s="125">
        <v>0</v>
      </c>
      <c r="V118" s="125">
        <v>0</v>
      </c>
      <c r="W118" s="125">
        <v>0</v>
      </c>
      <c r="X118" s="125">
        <v>0</v>
      </c>
      <c r="Y118" s="125">
        <v>0</v>
      </c>
      <c r="Z118" s="125">
        <v>0</v>
      </c>
      <c r="AA118" s="125">
        <v>0</v>
      </c>
      <c r="AB118" s="125">
        <v>0</v>
      </c>
      <c r="AC118" s="125">
        <v>0</v>
      </c>
      <c r="AD118" s="125">
        <v>0</v>
      </c>
      <c r="AE118" s="125">
        <v>1</v>
      </c>
      <c r="AF118" s="56"/>
      <c r="AG118" s="63">
        <f t="shared" si="41"/>
        <v>4</v>
      </c>
      <c r="AH118" s="63"/>
      <c r="AI118" s="63">
        <f t="shared" ref="AI118:AI123" si="42">AG118-AH118</f>
        <v>4</v>
      </c>
    </row>
    <row r="119" spans="1:76" ht="21">
      <c r="A119" s="55" t="s">
        <v>24</v>
      </c>
      <c r="B119" s="125"/>
      <c r="C119" s="125"/>
      <c r="D119" s="125"/>
      <c r="E119" s="125"/>
      <c r="F119" s="125"/>
      <c r="G119" s="125"/>
      <c r="H119" s="125"/>
      <c r="I119" s="125"/>
      <c r="J119" s="125">
        <v>0</v>
      </c>
      <c r="K119" s="125">
        <v>0</v>
      </c>
      <c r="L119" s="125"/>
      <c r="M119" s="125">
        <v>0</v>
      </c>
      <c r="N119" s="125">
        <v>0</v>
      </c>
      <c r="O119" s="125">
        <v>0</v>
      </c>
      <c r="P119" s="125">
        <v>0</v>
      </c>
      <c r="Q119" s="125">
        <v>0</v>
      </c>
      <c r="R119" s="125">
        <v>0</v>
      </c>
      <c r="S119" s="125">
        <v>0</v>
      </c>
      <c r="T119" s="125">
        <v>0</v>
      </c>
      <c r="U119" s="125">
        <v>0</v>
      </c>
      <c r="V119" s="125">
        <v>0</v>
      </c>
      <c r="W119" s="125">
        <v>0</v>
      </c>
      <c r="X119" s="125">
        <v>1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56"/>
      <c r="AG119" s="63">
        <f t="shared" si="41"/>
        <v>1</v>
      </c>
      <c r="AH119" s="63"/>
      <c r="AI119" s="63">
        <f t="shared" si="42"/>
        <v>1</v>
      </c>
    </row>
    <row r="120" spans="1:76" ht="21">
      <c r="A120" s="55" t="s">
        <v>26</v>
      </c>
      <c r="B120" s="125"/>
      <c r="C120" s="125"/>
      <c r="D120" s="125"/>
      <c r="E120" s="125"/>
      <c r="F120" s="125"/>
      <c r="G120" s="125"/>
      <c r="H120" s="125"/>
      <c r="I120" s="125"/>
      <c r="J120" s="125">
        <v>0</v>
      </c>
      <c r="K120" s="125">
        <v>4</v>
      </c>
      <c r="L120" s="125"/>
      <c r="M120" s="125">
        <v>0</v>
      </c>
      <c r="N120" s="125">
        <v>3</v>
      </c>
      <c r="O120" s="125">
        <v>2</v>
      </c>
      <c r="P120" s="125">
        <v>2</v>
      </c>
      <c r="Q120" s="125">
        <v>1</v>
      </c>
      <c r="R120" s="125">
        <v>3</v>
      </c>
      <c r="S120" s="125">
        <v>2</v>
      </c>
      <c r="T120" s="125">
        <v>0</v>
      </c>
      <c r="U120" s="125">
        <v>0</v>
      </c>
      <c r="V120" s="125">
        <v>0</v>
      </c>
      <c r="W120" s="125">
        <v>3</v>
      </c>
      <c r="X120" s="125">
        <v>0</v>
      </c>
      <c r="Y120" s="125">
        <v>0</v>
      </c>
      <c r="Z120" s="125">
        <v>0</v>
      </c>
      <c r="AA120" s="125">
        <v>0</v>
      </c>
      <c r="AB120" s="125">
        <v>0</v>
      </c>
      <c r="AC120" s="125">
        <v>0</v>
      </c>
      <c r="AD120" s="125">
        <v>0</v>
      </c>
      <c r="AE120" s="125">
        <v>2</v>
      </c>
      <c r="AF120" s="56"/>
      <c r="AG120" s="63">
        <f t="shared" si="41"/>
        <v>22</v>
      </c>
      <c r="AH120" s="63"/>
      <c r="AI120" s="63">
        <f t="shared" si="42"/>
        <v>22</v>
      </c>
    </row>
    <row r="121" spans="1:76" ht="21">
      <c r="A121" s="55" t="s">
        <v>28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63">
        <f t="shared" si="41"/>
        <v>0</v>
      </c>
      <c r="AH121" s="70"/>
      <c r="AI121" s="63">
        <f t="shared" si="42"/>
        <v>0</v>
      </c>
    </row>
    <row r="122" spans="1:76" ht="21">
      <c r="A122" s="55" t="s">
        <v>29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63">
        <f t="shared" si="41"/>
        <v>0</v>
      </c>
      <c r="AH122" s="71"/>
      <c r="AI122" s="63">
        <f t="shared" si="42"/>
        <v>0</v>
      </c>
    </row>
    <row r="123" spans="1:76" ht="21">
      <c r="A123" s="56" t="s">
        <v>31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63">
        <f t="shared" si="41"/>
        <v>0</v>
      </c>
      <c r="AH123" s="63"/>
      <c r="AI123" s="63">
        <f t="shared" si="42"/>
        <v>0</v>
      </c>
      <c r="AK123">
        <v>16</v>
      </c>
    </row>
  </sheetData>
  <mergeCells count="19">
    <mergeCell ref="A113:AG113"/>
    <mergeCell ref="AK14:AW15"/>
    <mergeCell ref="A1:AG1"/>
    <mergeCell ref="AK1:AW2"/>
    <mergeCell ref="AY1:BC2"/>
    <mergeCell ref="BF1:BI2"/>
    <mergeCell ref="A12:AG12"/>
    <mergeCell ref="A100:AG100"/>
    <mergeCell ref="AK16:AW17"/>
    <mergeCell ref="A23:AG23"/>
    <mergeCell ref="AZ27:BA27"/>
    <mergeCell ref="AZ28:BA28"/>
    <mergeCell ref="AZ29:BA29"/>
    <mergeCell ref="A34:AG34"/>
    <mergeCell ref="A45:AG45"/>
    <mergeCell ref="A56:AG56"/>
    <mergeCell ref="A67:AG67"/>
    <mergeCell ref="A78:AG78"/>
    <mergeCell ref="A89:AG89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5790-5A4F-4484-918A-274801B031A9}">
  <dimension ref="A1:BX123"/>
  <sheetViews>
    <sheetView showGridLines="0" zoomScale="50" zoomScaleNormal="50" workbookViewId="0">
      <pane xSplit="1" topLeftCell="AI1" activePane="topRight" state="frozen"/>
      <selection pane="topRight" activeCell="AM6" sqref="AM6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6" width="24.28515625" style="3" customWidth="1"/>
    <col min="47" max="47" width="30.42578125" style="3" customWidth="1"/>
    <col min="48" max="48" width="21.140625" style="3" customWidth="1"/>
    <col min="49" max="49" width="10.5703125" style="3" customWidth="1"/>
    <col min="51" max="51" width="33.5703125" customWidth="1"/>
    <col min="52" max="53" width="28.7109375" customWidth="1"/>
    <col min="54" max="54" width="29.85546875" customWidth="1"/>
    <col min="55" max="55" width="17" customWidth="1"/>
    <col min="58" max="58" width="14.140625" style="2" customWidth="1"/>
    <col min="59" max="59" width="17.7109375" style="2" customWidth="1"/>
    <col min="60" max="60" width="25.42578125" style="2" customWidth="1"/>
    <col min="61" max="61" width="26.5703125" style="2" customWidth="1"/>
  </cols>
  <sheetData>
    <row r="1" spans="1:61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339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3"/>
      <c r="AY1" s="257" t="s">
        <v>1</v>
      </c>
      <c r="AZ1" s="258"/>
      <c r="BA1" s="258"/>
      <c r="BB1" s="258"/>
      <c r="BC1" s="259"/>
      <c r="BF1" s="263"/>
      <c r="BG1" s="263"/>
      <c r="BH1" s="263"/>
      <c r="BI1" s="263"/>
    </row>
    <row r="2" spans="1:61" s="1" customFormat="1" ht="23.25" customHeight="1" thickBot="1">
      <c r="A2" s="53"/>
      <c r="B2" s="54">
        <v>46143</v>
      </c>
      <c r="C2" s="54">
        <v>46144</v>
      </c>
      <c r="D2" s="54">
        <v>46145</v>
      </c>
      <c r="E2" s="54">
        <v>46146</v>
      </c>
      <c r="F2" s="54">
        <v>46147</v>
      </c>
      <c r="G2" s="54">
        <v>46148</v>
      </c>
      <c r="H2" s="54">
        <v>46149</v>
      </c>
      <c r="I2" s="54">
        <v>46150</v>
      </c>
      <c r="J2" s="54">
        <v>46151</v>
      </c>
      <c r="K2" s="54">
        <v>46152</v>
      </c>
      <c r="L2" s="54">
        <v>46153</v>
      </c>
      <c r="M2" s="54">
        <v>46154</v>
      </c>
      <c r="N2" s="54">
        <v>46155</v>
      </c>
      <c r="O2" s="54">
        <v>46156</v>
      </c>
      <c r="P2" s="54">
        <v>46157</v>
      </c>
      <c r="Q2" s="54">
        <v>46158</v>
      </c>
      <c r="R2" s="54">
        <v>46159</v>
      </c>
      <c r="S2" s="54">
        <v>46160</v>
      </c>
      <c r="T2" s="54">
        <v>46161</v>
      </c>
      <c r="U2" s="54">
        <v>46162</v>
      </c>
      <c r="V2" s="54">
        <v>46163</v>
      </c>
      <c r="W2" s="54">
        <v>46164</v>
      </c>
      <c r="X2" s="54">
        <v>46165</v>
      </c>
      <c r="Y2" s="54">
        <v>46166</v>
      </c>
      <c r="Z2" s="54">
        <v>46167</v>
      </c>
      <c r="AA2" s="54">
        <v>46168</v>
      </c>
      <c r="AB2" s="54">
        <v>46169</v>
      </c>
      <c r="AC2" s="54">
        <v>46170</v>
      </c>
      <c r="AD2" s="54">
        <v>46171</v>
      </c>
      <c r="AE2" s="54">
        <v>46172</v>
      </c>
      <c r="AF2" s="54">
        <v>46173</v>
      </c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Y2" s="260"/>
      <c r="AZ2" s="261"/>
      <c r="BA2" s="261"/>
      <c r="BB2" s="261"/>
      <c r="BC2" s="262"/>
      <c r="BF2" s="263"/>
      <c r="BG2" s="263"/>
      <c r="BH2" s="263"/>
      <c r="BI2" s="263"/>
    </row>
    <row r="3" spans="1:61" ht="21.75" thickBot="1">
      <c r="A3" s="55" t="s">
        <v>5</v>
      </c>
      <c r="B3" s="56">
        <v>46</v>
      </c>
      <c r="C3" s="56">
        <v>50</v>
      </c>
      <c r="D3" s="56">
        <v>37</v>
      </c>
      <c r="E3" s="56">
        <v>34</v>
      </c>
      <c r="F3" s="56">
        <v>41</v>
      </c>
      <c r="G3" s="56">
        <v>33</v>
      </c>
      <c r="H3" s="56">
        <v>47</v>
      </c>
      <c r="I3" s="56">
        <v>41</v>
      </c>
      <c r="J3" s="56">
        <v>58</v>
      </c>
      <c r="K3" s="56">
        <v>21</v>
      </c>
      <c r="L3" s="56">
        <v>23</v>
      </c>
      <c r="M3" s="56">
        <v>25</v>
      </c>
      <c r="N3" s="56">
        <v>20</v>
      </c>
      <c r="O3" s="56">
        <v>28</v>
      </c>
      <c r="P3" s="56">
        <v>31</v>
      </c>
      <c r="Q3" s="56">
        <v>40</v>
      </c>
      <c r="R3" s="56">
        <v>48</v>
      </c>
      <c r="S3" s="56">
        <v>25</v>
      </c>
      <c r="T3" s="56">
        <v>35</v>
      </c>
      <c r="U3" s="56">
        <v>27</v>
      </c>
      <c r="V3" s="56">
        <v>29</v>
      </c>
      <c r="W3" s="56">
        <v>24</v>
      </c>
      <c r="X3" s="56">
        <v>34</v>
      </c>
      <c r="Y3" s="56">
        <v>41</v>
      </c>
      <c r="Z3" s="56">
        <v>29</v>
      </c>
      <c r="AA3" s="56">
        <v>17</v>
      </c>
      <c r="AB3" s="56">
        <v>27</v>
      </c>
      <c r="AC3" s="56">
        <v>32</v>
      </c>
      <c r="AD3" s="56">
        <v>28</v>
      </c>
      <c r="AE3" s="56">
        <v>63</v>
      </c>
      <c r="AF3" s="56">
        <v>43</v>
      </c>
      <c r="AG3" s="63">
        <f>SUM(B3:AF3)</f>
        <v>1077</v>
      </c>
      <c r="AH3" s="63"/>
      <c r="AI3" s="63">
        <f>AG3</f>
        <v>1077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305</v>
      </c>
      <c r="AU3" s="65" t="s">
        <v>14</v>
      </c>
      <c r="AV3" s="65" t="s">
        <v>15</v>
      </c>
      <c r="AW3" s="84" t="s">
        <v>2</v>
      </c>
      <c r="AY3" s="85" t="s">
        <v>16</v>
      </c>
      <c r="AZ3" s="86" t="s">
        <v>17</v>
      </c>
      <c r="BA3" s="86" t="s">
        <v>18</v>
      </c>
      <c r="BB3" s="86" t="s">
        <v>19</v>
      </c>
      <c r="BC3" s="86" t="s">
        <v>20</v>
      </c>
      <c r="BF3" s="110"/>
      <c r="BG3" s="110"/>
      <c r="BH3" s="111"/>
      <c r="BI3" s="110"/>
    </row>
    <row r="4" spans="1:61" ht="21">
      <c r="A4" s="55" t="s">
        <v>21</v>
      </c>
      <c r="B4" s="56">
        <v>26</v>
      </c>
      <c r="C4" s="56">
        <v>28</v>
      </c>
      <c r="D4" s="56">
        <v>20</v>
      </c>
      <c r="E4" s="56">
        <v>16</v>
      </c>
      <c r="F4" s="56">
        <v>28</v>
      </c>
      <c r="G4" s="56">
        <v>16</v>
      </c>
      <c r="H4" s="56">
        <v>30</v>
      </c>
      <c r="I4" s="56">
        <v>26</v>
      </c>
      <c r="J4" s="56">
        <v>32</v>
      </c>
      <c r="K4" s="56">
        <v>10</v>
      </c>
      <c r="L4" s="56">
        <v>17</v>
      </c>
      <c r="M4" s="56">
        <v>17</v>
      </c>
      <c r="N4" s="56">
        <v>13</v>
      </c>
      <c r="O4" s="56">
        <v>17</v>
      </c>
      <c r="P4" s="56">
        <v>20</v>
      </c>
      <c r="Q4" s="56">
        <v>23</v>
      </c>
      <c r="R4" s="56">
        <v>24</v>
      </c>
      <c r="S4" s="56">
        <v>9</v>
      </c>
      <c r="T4" s="56">
        <v>24</v>
      </c>
      <c r="U4" s="56">
        <v>15</v>
      </c>
      <c r="V4" s="56">
        <v>17</v>
      </c>
      <c r="W4" s="56">
        <v>14</v>
      </c>
      <c r="X4" s="56">
        <v>19</v>
      </c>
      <c r="Y4" s="56">
        <v>24</v>
      </c>
      <c r="Z4" s="56">
        <v>15</v>
      </c>
      <c r="AA4" s="56">
        <v>11</v>
      </c>
      <c r="AB4" s="56">
        <v>21</v>
      </c>
      <c r="AC4" s="56">
        <v>21</v>
      </c>
      <c r="AD4" s="56">
        <v>22</v>
      </c>
      <c r="AE4" s="56">
        <v>43</v>
      </c>
      <c r="AF4" s="56">
        <v>20</v>
      </c>
      <c r="AG4" s="63">
        <f t="shared" ref="AG4:AG11" si="0">SUM(B4:AF4)</f>
        <v>638</v>
      </c>
      <c r="AH4" s="63"/>
      <c r="AI4" s="63">
        <f>AG4+AH6+AH7+AH8</f>
        <v>638</v>
      </c>
      <c r="AK4" s="66" t="s">
        <v>5</v>
      </c>
      <c r="AL4" s="67">
        <f>AI3</f>
        <v>1077</v>
      </c>
      <c r="AM4" s="67">
        <f t="shared" ref="AM4:AM12" si="1">AI14</f>
        <v>1039</v>
      </c>
      <c r="AN4" s="67">
        <f t="shared" ref="AN4:AN12" si="2">AI25</f>
        <v>975</v>
      </c>
      <c r="AO4" s="67">
        <f t="shared" ref="AO4:AO12" si="3">AI36</f>
        <v>658</v>
      </c>
      <c r="AP4" s="67">
        <f t="shared" ref="AP4:AP12" si="4">AI47</f>
        <v>684</v>
      </c>
      <c r="AQ4" s="67">
        <f t="shared" ref="AQ4:AQ12" si="5">AI58</f>
        <v>1045</v>
      </c>
      <c r="AR4" s="67">
        <f t="shared" ref="AR4:AR12" si="6">AI69</f>
        <v>1099</v>
      </c>
      <c r="AS4" s="67">
        <f t="shared" ref="AS4:AS12" si="7">AI80</f>
        <v>1304</v>
      </c>
      <c r="AT4" s="67">
        <f t="shared" ref="AT4:AT12" si="8">AI115</f>
        <v>811</v>
      </c>
      <c r="AU4" s="67">
        <f t="shared" ref="AU4:AU12" si="9">AI91</f>
        <v>1418</v>
      </c>
      <c r="AV4" s="67">
        <f t="shared" ref="AV4:AV12" si="10">AI102</f>
        <v>1070</v>
      </c>
      <c r="AW4" s="87">
        <f t="shared" ref="AW4:AW12" si="11">SUM(AL4:AV4)</f>
        <v>11180</v>
      </c>
      <c r="AY4" s="88">
        <v>1</v>
      </c>
      <c r="AZ4" s="88" t="s">
        <v>7</v>
      </c>
      <c r="BA4" s="88">
        <f>AL5</f>
        <v>638</v>
      </c>
      <c r="BB4" s="88">
        <f>AL7+AL9</f>
        <v>10</v>
      </c>
      <c r="BC4" s="89">
        <f>BB4/BA4</f>
        <v>1.5673981191222569E-2</v>
      </c>
      <c r="BF4" s="112"/>
      <c r="BG4" s="112"/>
      <c r="BH4" s="113"/>
      <c r="BI4" s="112"/>
    </row>
    <row r="5" spans="1:61" ht="21">
      <c r="A5" s="55" t="s">
        <v>22</v>
      </c>
      <c r="B5" s="125">
        <v>26</v>
      </c>
      <c r="C5" s="125">
        <v>28</v>
      </c>
      <c r="D5" s="125">
        <v>20</v>
      </c>
      <c r="E5" s="125">
        <v>16</v>
      </c>
      <c r="F5" s="125">
        <v>28</v>
      </c>
      <c r="G5" s="125">
        <v>16</v>
      </c>
      <c r="H5" s="125">
        <v>29</v>
      </c>
      <c r="I5" s="125">
        <v>26</v>
      </c>
      <c r="J5" s="125">
        <v>32</v>
      </c>
      <c r="K5" s="125">
        <v>10</v>
      </c>
      <c r="L5" s="125">
        <v>17</v>
      </c>
      <c r="M5" s="125">
        <v>17</v>
      </c>
      <c r="N5" s="125">
        <v>13</v>
      </c>
      <c r="O5" s="125">
        <v>16</v>
      </c>
      <c r="P5" s="125">
        <v>20</v>
      </c>
      <c r="Q5" s="125">
        <v>22</v>
      </c>
      <c r="R5" s="125">
        <v>23</v>
      </c>
      <c r="S5" s="125">
        <v>9</v>
      </c>
      <c r="T5" s="125">
        <v>23</v>
      </c>
      <c r="U5" s="125">
        <v>13</v>
      </c>
      <c r="V5" s="125">
        <v>16</v>
      </c>
      <c r="W5" s="125">
        <v>14</v>
      </c>
      <c r="X5" s="125">
        <v>19</v>
      </c>
      <c r="Y5" s="125">
        <v>24</v>
      </c>
      <c r="Z5" s="125">
        <v>15</v>
      </c>
      <c r="AA5" s="125">
        <v>10</v>
      </c>
      <c r="AB5" s="125">
        <v>21</v>
      </c>
      <c r="AC5" s="125">
        <v>21</v>
      </c>
      <c r="AD5" s="125">
        <v>21</v>
      </c>
      <c r="AE5" s="125">
        <v>43</v>
      </c>
      <c r="AF5" s="125">
        <v>20</v>
      </c>
      <c r="AG5" s="63">
        <f t="shared" si="0"/>
        <v>628</v>
      </c>
      <c r="AH5" s="63"/>
      <c r="AI5" s="63">
        <f t="shared" ref="AI5:AI11" si="12">AG5-AH5</f>
        <v>628</v>
      </c>
      <c r="AK5" s="66" t="s">
        <v>21</v>
      </c>
      <c r="AL5" s="67">
        <f t="shared" ref="AL5:AL12" si="13">AI4</f>
        <v>638</v>
      </c>
      <c r="AM5" s="67">
        <f t="shared" si="1"/>
        <v>600</v>
      </c>
      <c r="AN5" s="67">
        <f t="shared" si="2"/>
        <v>631</v>
      </c>
      <c r="AO5" s="67">
        <f t="shared" si="3"/>
        <v>464</v>
      </c>
      <c r="AP5" s="67">
        <f t="shared" si="4"/>
        <v>413</v>
      </c>
      <c r="AQ5" s="67">
        <f t="shared" si="5"/>
        <v>569</v>
      </c>
      <c r="AR5" s="67">
        <f t="shared" si="6"/>
        <v>590</v>
      </c>
      <c r="AS5" s="67">
        <f t="shared" si="7"/>
        <v>670</v>
      </c>
      <c r="AT5" s="67">
        <f t="shared" si="8"/>
        <v>405</v>
      </c>
      <c r="AU5" s="67">
        <f t="shared" si="9"/>
        <v>645</v>
      </c>
      <c r="AV5" s="67">
        <f t="shared" si="10"/>
        <v>506</v>
      </c>
      <c r="AW5" s="87">
        <f t="shared" si="11"/>
        <v>6131</v>
      </c>
      <c r="AY5" s="90">
        <v>2</v>
      </c>
      <c r="AZ5" s="90" t="s">
        <v>8</v>
      </c>
      <c r="BA5" s="90">
        <f>AM5</f>
        <v>600</v>
      </c>
      <c r="BB5" s="90">
        <f>AM7+AM9</f>
        <v>27</v>
      </c>
      <c r="BC5" s="89">
        <f t="shared" ref="BC5:BC13" si="14">BB5/BA5</f>
        <v>4.4999999999999998E-2</v>
      </c>
      <c r="BF5" s="112"/>
      <c r="BG5" s="112"/>
      <c r="BH5" s="113"/>
      <c r="BI5" s="114"/>
    </row>
    <row r="6" spans="1:61" ht="21">
      <c r="A6" s="55" t="s">
        <v>23</v>
      </c>
      <c r="B6" s="125">
        <v>0</v>
      </c>
      <c r="C6" s="125">
        <v>0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1</v>
      </c>
      <c r="P6" s="125">
        <v>0</v>
      </c>
      <c r="Q6" s="125">
        <v>1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  <c r="AD6" s="125">
        <v>0</v>
      </c>
      <c r="AE6" s="125">
        <v>0</v>
      </c>
      <c r="AF6" s="125">
        <v>0</v>
      </c>
      <c r="AG6" s="63">
        <f t="shared" si="0"/>
        <v>2</v>
      </c>
      <c r="AH6" s="63"/>
      <c r="AI6" s="63">
        <f t="shared" si="12"/>
        <v>2</v>
      </c>
      <c r="AK6" s="68" t="s">
        <v>22</v>
      </c>
      <c r="AL6" s="69">
        <f t="shared" si="13"/>
        <v>628</v>
      </c>
      <c r="AM6" s="69">
        <f t="shared" si="1"/>
        <v>572</v>
      </c>
      <c r="AN6" s="69">
        <f t="shared" si="2"/>
        <v>584</v>
      </c>
      <c r="AO6" s="69">
        <f t="shared" si="3"/>
        <v>428</v>
      </c>
      <c r="AP6" s="69">
        <f t="shared" si="4"/>
        <v>380</v>
      </c>
      <c r="AQ6" s="69">
        <f t="shared" si="5"/>
        <v>512</v>
      </c>
      <c r="AR6" s="69">
        <f t="shared" si="6"/>
        <v>530</v>
      </c>
      <c r="AS6" s="69">
        <f t="shared" si="7"/>
        <v>574</v>
      </c>
      <c r="AT6" s="69">
        <f t="shared" si="8"/>
        <v>359</v>
      </c>
      <c r="AU6" s="69">
        <f t="shared" si="9"/>
        <v>610</v>
      </c>
      <c r="AV6" s="69">
        <f t="shared" si="10"/>
        <v>506</v>
      </c>
      <c r="AW6" s="91">
        <f t="shared" si="11"/>
        <v>5683</v>
      </c>
      <c r="AY6" s="90">
        <v>3</v>
      </c>
      <c r="AZ6" s="90" t="s">
        <v>9</v>
      </c>
      <c r="BA6" s="90">
        <f>AN5</f>
        <v>631</v>
      </c>
      <c r="BB6" s="90">
        <f>AN7+AN9</f>
        <v>42</v>
      </c>
      <c r="BC6" s="89">
        <f t="shared" si="14"/>
        <v>6.6561014263074481E-2</v>
      </c>
      <c r="BF6" s="112"/>
      <c r="BG6" s="112"/>
      <c r="BH6" s="113"/>
      <c r="BI6" s="112"/>
    </row>
    <row r="7" spans="1:61" ht="21">
      <c r="A7" s="55" t="s">
        <v>24</v>
      </c>
      <c r="B7" s="125">
        <v>0</v>
      </c>
      <c r="C7" s="125">
        <v>0</v>
      </c>
      <c r="D7" s="125">
        <v>0</v>
      </c>
      <c r="E7" s="125">
        <v>0</v>
      </c>
      <c r="F7" s="125">
        <v>0</v>
      </c>
      <c r="G7" s="125">
        <v>0</v>
      </c>
      <c r="H7" s="125">
        <v>0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125">
        <v>0</v>
      </c>
      <c r="AG7" s="63">
        <f t="shared" si="0"/>
        <v>0</v>
      </c>
      <c r="AH7" s="63"/>
      <c r="AI7" s="63">
        <f t="shared" si="12"/>
        <v>0</v>
      </c>
      <c r="AK7" s="68" t="s">
        <v>23</v>
      </c>
      <c r="AL7" s="69">
        <f t="shared" si="13"/>
        <v>2</v>
      </c>
      <c r="AM7" s="69">
        <f t="shared" si="1"/>
        <v>9</v>
      </c>
      <c r="AN7" s="69">
        <f t="shared" si="2"/>
        <v>16</v>
      </c>
      <c r="AO7" s="69">
        <f t="shared" si="3"/>
        <v>7</v>
      </c>
      <c r="AP7" s="69">
        <f t="shared" si="4"/>
        <v>3</v>
      </c>
      <c r="AQ7" s="69">
        <f t="shared" si="5"/>
        <v>6</v>
      </c>
      <c r="AR7" s="69">
        <f t="shared" si="6"/>
        <v>9</v>
      </c>
      <c r="AS7" s="69">
        <f t="shared" si="7"/>
        <v>8</v>
      </c>
      <c r="AT7" s="69">
        <f t="shared" si="8"/>
        <v>2</v>
      </c>
      <c r="AU7" s="69">
        <f t="shared" si="9"/>
        <v>2</v>
      </c>
      <c r="AV7" s="69">
        <f t="shared" si="10"/>
        <v>0</v>
      </c>
      <c r="AW7" s="91">
        <f t="shared" si="11"/>
        <v>64</v>
      </c>
      <c r="AY7" s="90">
        <v>4</v>
      </c>
      <c r="AZ7" s="90" t="s">
        <v>25</v>
      </c>
      <c r="BA7" s="90">
        <f>AO5</f>
        <v>464</v>
      </c>
      <c r="BB7" s="90">
        <f>AO7+AO9</f>
        <v>16</v>
      </c>
      <c r="BC7" s="89">
        <f t="shared" si="14"/>
        <v>3.4482758620689655E-2</v>
      </c>
      <c r="BF7" s="112"/>
      <c r="BG7" s="112"/>
      <c r="BH7" s="113"/>
      <c r="BI7" s="114"/>
    </row>
    <row r="8" spans="1:61" ht="21">
      <c r="A8" s="55" t="s">
        <v>26</v>
      </c>
      <c r="B8" s="125">
        <v>0</v>
      </c>
      <c r="C8" s="125">
        <v>0</v>
      </c>
      <c r="D8" s="125">
        <v>0</v>
      </c>
      <c r="E8" s="125">
        <v>0</v>
      </c>
      <c r="F8" s="125">
        <v>0</v>
      </c>
      <c r="G8" s="125">
        <v>0</v>
      </c>
      <c r="H8" s="125">
        <v>1</v>
      </c>
      <c r="I8" s="125">
        <v>0</v>
      </c>
      <c r="J8" s="125">
        <v>0</v>
      </c>
      <c r="K8" s="125">
        <v>0</v>
      </c>
      <c r="L8" s="125">
        <v>0</v>
      </c>
      <c r="M8" s="125">
        <v>0</v>
      </c>
      <c r="N8" s="125">
        <v>0</v>
      </c>
      <c r="O8" s="125">
        <v>0</v>
      </c>
      <c r="P8" s="125">
        <v>0</v>
      </c>
      <c r="Q8" s="125">
        <v>0</v>
      </c>
      <c r="R8" s="125">
        <v>1</v>
      </c>
      <c r="S8" s="125">
        <v>0</v>
      </c>
      <c r="T8" s="125">
        <v>1</v>
      </c>
      <c r="U8" s="125">
        <v>2</v>
      </c>
      <c r="V8" s="125">
        <v>1</v>
      </c>
      <c r="W8" s="125">
        <v>0</v>
      </c>
      <c r="X8" s="125">
        <v>0</v>
      </c>
      <c r="Y8" s="125">
        <v>0</v>
      </c>
      <c r="Z8" s="125">
        <v>0</v>
      </c>
      <c r="AA8" s="125">
        <v>1</v>
      </c>
      <c r="AB8" s="125">
        <v>0</v>
      </c>
      <c r="AC8" s="125">
        <v>0</v>
      </c>
      <c r="AD8" s="125">
        <v>1</v>
      </c>
      <c r="AE8" s="125">
        <v>0</v>
      </c>
      <c r="AF8" s="125">
        <v>0</v>
      </c>
      <c r="AG8" s="63">
        <f t="shared" si="0"/>
        <v>8</v>
      </c>
      <c r="AH8" s="63"/>
      <c r="AI8" s="63">
        <f t="shared" si="12"/>
        <v>8</v>
      </c>
      <c r="AJ8" t="s">
        <v>27</v>
      </c>
      <c r="AK8" s="68" t="s">
        <v>24</v>
      </c>
      <c r="AL8" s="69">
        <f t="shared" si="13"/>
        <v>0</v>
      </c>
      <c r="AM8" s="69">
        <f t="shared" si="1"/>
        <v>1</v>
      </c>
      <c r="AN8" s="69">
        <f t="shared" si="2"/>
        <v>5</v>
      </c>
      <c r="AO8" s="69">
        <f t="shared" si="3"/>
        <v>20</v>
      </c>
      <c r="AP8" s="69">
        <f t="shared" si="4"/>
        <v>2</v>
      </c>
      <c r="AQ8" s="69">
        <f t="shared" si="5"/>
        <v>2</v>
      </c>
      <c r="AR8" s="69">
        <f t="shared" si="6"/>
        <v>1</v>
      </c>
      <c r="AS8" s="69">
        <f t="shared" si="7"/>
        <v>4</v>
      </c>
      <c r="AT8" s="69">
        <f t="shared" si="8"/>
        <v>0</v>
      </c>
      <c r="AU8" s="69">
        <f t="shared" si="9"/>
        <v>0</v>
      </c>
      <c r="AV8" s="69">
        <f t="shared" si="10"/>
        <v>0</v>
      </c>
      <c r="AW8" s="91">
        <f t="shared" si="11"/>
        <v>35</v>
      </c>
      <c r="AY8" s="90">
        <v>5</v>
      </c>
      <c r="AZ8" s="90" t="s">
        <v>11</v>
      </c>
      <c r="BA8" s="90">
        <f>AP5</f>
        <v>413</v>
      </c>
      <c r="BB8" s="90">
        <f>AP7+AP9</f>
        <v>31</v>
      </c>
      <c r="BC8" s="89">
        <f t="shared" si="14"/>
        <v>7.5060532687651338E-2</v>
      </c>
      <c r="BF8" s="112"/>
      <c r="BG8" s="112"/>
      <c r="BH8" s="113"/>
      <c r="BI8" s="114"/>
    </row>
    <row r="9" spans="1:61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2"/>
        <v>0</v>
      </c>
      <c r="AK9" s="68" t="s">
        <v>26</v>
      </c>
      <c r="AL9" s="69">
        <f t="shared" si="13"/>
        <v>8</v>
      </c>
      <c r="AM9" s="69">
        <f t="shared" si="1"/>
        <v>18</v>
      </c>
      <c r="AN9" s="69">
        <f t="shared" si="2"/>
        <v>26</v>
      </c>
      <c r="AO9" s="69">
        <f t="shared" si="3"/>
        <v>9</v>
      </c>
      <c r="AP9" s="69">
        <f t="shared" si="4"/>
        <v>28</v>
      </c>
      <c r="AQ9" s="69">
        <f t="shared" si="5"/>
        <v>49</v>
      </c>
      <c r="AR9" s="69">
        <f t="shared" si="6"/>
        <v>50</v>
      </c>
      <c r="AS9" s="69">
        <f t="shared" si="7"/>
        <v>84</v>
      </c>
      <c r="AT9" s="69">
        <f t="shared" si="8"/>
        <v>44</v>
      </c>
      <c r="AU9" s="69">
        <f t="shared" si="9"/>
        <v>33</v>
      </c>
      <c r="AV9" s="69">
        <f t="shared" si="10"/>
        <v>0</v>
      </c>
      <c r="AW9" s="91">
        <f t="shared" si="11"/>
        <v>349</v>
      </c>
      <c r="AY9" s="90">
        <v>6</v>
      </c>
      <c r="AZ9" s="90" t="s">
        <v>13</v>
      </c>
      <c r="BA9" s="90">
        <f>AQ5</f>
        <v>569</v>
      </c>
      <c r="BB9" s="90">
        <f>AQ7+AQ9</f>
        <v>55</v>
      </c>
      <c r="BC9" s="89">
        <f t="shared" si="14"/>
        <v>9.6660808435852369E-2</v>
      </c>
      <c r="BF9" s="112"/>
      <c r="BG9" s="112"/>
      <c r="BH9" s="113"/>
      <c r="BI9" s="112"/>
    </row>
    <row r="10" spans="1:61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2"/>
        <v>0</v>
      </c>
      <c r="AK10" s="66" t="s">
        <v>28</v>
      </c>
      <c r="AL10" s="67">
        <f t="shared" si="13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67">
        <f t="shared" si="10"/>
        <v>0</v>
      </c>
      <c r="AW10" s="87">
        <f t="shared" si="11"/>
        <v>0</v>
      </c>
      <c r="AY10" s="90">
        <v>7</v>
      </c>
      <c r="AZ10" s="90" t="s">
        <v>125</v>
      </c>
      <c r="BA10" s="90">
        <f>AR5</f>
        <v>590</v>
      </c>
      <c r="BB10" s="90">
        <f>AR7+AR9</f>
        <v>59</v>
      </c>
      <c r="BC10" s="89">
        <f t="shared" si="14"/>
        <v>0.1</v>
      </c>
      <c r="BF10" s="112"/>
      <c r="BG10" s="112"/>
      <c r="BH10" s="113"/>
      <c r="BI10" s="112"/>
    </row>
    <row r="11" spans="1:61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2"/>
        <v>0</v>
      </c>
      <c r="AK11" s="66" t="s">
        <v>29</v>
      </c>
      <c r="AL11" s="72">
        <f t="shared" si="13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67">
        <f t="shared" si="8"/>
        <v>0</v>
      </c>
      <c r="AU11" s="72">
        <f t="shared" si="9"/>
        <v>0</v>
      </c>
      <c r="AV11" s="72">
        <f t="shared" si="10"/>
        <v>0</v>
      </c>
      <c r="AW11" s="92">
        <f t="shared" si="11"/>
        <v>0</v>
      </c>
      <c r="AY11" s="90">
        <v>8</v>
      </c>
      <c r="AZ11" s="90" t="s">
        <v>126</v>
      </c>
      <c r="BA11" s="90">
        <f>AS5</f>
        <v>670</v>
      </c>
      <c r="BB11" s="90">
        <f>AS7+AS9</f>
        <v>92</v>
      </c>
      <c r="BC11" s="89">
        <f t="shared" si="14"/>
        <v>0.1373134328358209</v>
      </c>
      <c r="BF11" s="112"/>
      <c r="BG11" s="112"/>
      <c r="BH11" s="113"/>
      <c r="BI11" s="112"/>
    </row>
    <row r="12" spans="1:61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3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67">
        <f t="shared" si="8"/>
        <v>0</v>
      </c>
      <c r="AU12" s="72">
        <f t="shared" si="9"/>
        <v>0</v>
      </c>
      <c r="AV12" s="72">
        <f t="shared" si="10"/>
        <v>0</v>
      </c>
      <c r="AW12" s="92">
        <f t="shared" si="11"/>
        <v>0</v>
      </c>
      <c r="AY12" s="90">
        <v>9</v>
      </c>
      <c r="AZ12" s="90" t="s">
        <v>14</v>
      </c>
      <c r="BA12" s="90">
        <f>AU5</f>
        <v>645</v>
      </c>
      <c r="BB12" s="90">
        <f>AU7+AU9</f>
        <v>35</v>
      </c>
      <c r="BC12" s="89">
        <f t="shared" si="14"/>
        <v>5.4263565891472867E-2</v>
      </c>
      <c r="BF12" s="112"/>
      <c r="BG12" s="112"/>
      <c r="BH12" s="113"/>
      <c r="BI12" s="114"/>
    </row>
    <row r="13" spans="1:61" ht="21">
      <c r="A13" s="53"/>
      <c r="B13" s="54">
        <v>46143</v>
      </c>
      <c r="C13" s="54">
        <v>46144</v>
      </c>
      <c r="D13" s="54">
        <v>46145</v>
      </c>
      <c r="E13" s="54">
        <v>46146</v>
      </c>
      <c r="F13" s="54">
        <v>46147</v>
      </c>
      <c r="G13" s="54">
        <v>46148</v>
      </c>
      <c r="H13" s="54">
        <v>46149</v>
      </c>
      <c r="I13" s="54">
        <v>46150</v>
      </c>
      <c r="J13" s="54">
        <v>46151</v>
      </c>
      <c r="K13" s="54">
        <v>46152</v>
      </c>
      <c r="L13" s="54">
        <v>46153</v>
      </c>
      <c r="M13" s="54">
        <v>46154</v>
      </c>
      <c r="N13" s="54">
        <v>46155</v>
      </c>
      <c r="O13" s="54">
        <v>46156</v>
      </c>
      <c r="P13" s="54">
        <v>46157</v>
      </c>
      <c r="Q13" s="54">
        <v>46158</v>
      </c>
      <c r="R13" s="54">
        <v>46159</v>
      </c>
      <c r="S13" s="54">
        <v>46160</v>
      </c>
      <c r="T13" s="54">
        <v>46161</v>
      </c>
      <c r="U13" s="54">
        <v>46162</v>
      </c>
      <c r="V13" s="54">
        <v>46163</v>
      </c>
      <c r="W13" s="54">
        <v>46164</v>
      </c>
      <c r="X13" s="54">
        <v>46165</v>
      </c>
      <c r="Y13" s="54">
        <v>46166</v>
      </c>
      <c r="Z13" s="54">
        <v>46167</v>
      </c>
      <c r="AA13" s="54">
        <v>46168</v>
      </c>
      <c r="AB13" s="54">
        <v>46169</v>
      </c>
      <c r="AC13" s="54">
        <v>46170</v>
      </c>
      <c r="AD13" s="54">
        <v>46171</v>
      </c>
      <c r="AE13" s="54">
        <v>46172</v>
      </c>
      <c r="AF13" s="54">
        <v>46173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10</v>
      </c>
      <c r="AM13" s="74">
        <f t="shared" ref="AM13:AW13" si="15">AM7+AM9</f>
        <v>27</v>
      </c>
      <c r="AN13" s="74">
        <f t="shared" si="15"/>
        <v>42</v>
      </c>
      <c r="AO13" s="74">
        <f t="shared" si="15"/>
        <v>16</v>
      </c>
      <c r="AP13" s="74">
        <f t="shared" si="15"/>
        <v>31</v>
      </c>
      <c r="AQ13" s="74">
        <f t="shared" si="15"/>
        <v>55</v>
      </c>
      <c r="AR13" s="74">
        <f t="shared" si="15"/>
        <v>59</v>
      </c>
      <c r="AS13" s="74">
        <f t="shared" si="15"/>
        <v>92</v>
      </c>
      <c r="AT13" s="74">
        <f t="shared" si="15"/>
        <v>46</v>
      </c>
      <c r="AU13" s="74">
        <f t="shared" si="15"/>
        <v>35</v>
      </c>
      <c r="AV13" s="74">
        <f t="shared" si="15"/>
        <v>0</v>
      </c>
      <c r="AW13" s="93">
        <f t="shared" si="15"/>
        <v>413</v>
      </c>
      <c r="AY13" s="90">
        <v>10</v>
      </c>
      <c r="AZ13" s="90" t="s">
        <v>15</v>
      </c>
      <c r="BA13" s="90">
        <f>AV5</f>
        <v>506</v>
      </c>
      <c r="BB13" s="90">
        <f>AV7+AV9</f>
        <v>0</v>
      </c>
      <c r="BC13" s="89">
        <f t="shared" si="14"/>
        <v>0</v>
      </c>
      <c r="BF13" s="112"/>
      <c r="BG13" s="112"/>
      <c r="BH13" s="113"/>
      <c r="BI13" s="114"/>
    </row>
    <row r="14" spans="1:61" ht="21.75" thickBot="1">
      <c r="A14" s="55" t="s">
        <v>5</v>
      </c>
      <c r="B14" s="56">
        <v>53</v>
      </c>
      <c r="C14" s="56">
        <v>24</v>
      </c>
      <c r="D14" s="56">
        <v>32</v>
      </c>
      <c r="E14" s="56">
        <v>20</v>
      </c>
      <c r="F14" s="56">
        <v>32</v>
      </c>
      <c r="G14" s="56">
        <v>38</v>
      </c>
      <c r="H14" s="56">
        <v>55</v>
      </c>
      <c r="I14" s="56">
        <v>49</v>
      </c>
      <c r="J14" s="56">
        <v>57</v>
      </c>
      <c r="K14" s="56">
        <v>21</v>
      </c>
      <c r="L14" s="56">
        <v>15</v>
      </c>
      <c r="M14" s="56">
        <v>26</v>
      </c>
      <c r="N14" s="56">
        <v>18</v>
      </c>
      <c r="O14" s="56">
        <v>14</v>
      </c>
      <c r="P14" s="56">
        <v>34</v>
      </c>
      <c r="Q14" s="56">
        <v>45</v>
      </c>
      <c r="R14" s="56">
        <v>32</v>
      </c>
      <c r="S14" s="56">
        <v>45</v>
      </c>
      <c r="T14" s="56">
        <v>43</v>
      </c>
      <c r="U14" s="56">
        <v>26</v>
      </c>
      <c r="V14" s="56">
        <v>24</v>
      </c>
      <c r="W14" s="56">
        <v>28</v>
      </c>
      <c r="X14" s="56">
        <v>45</v>
      </c>
      <c r="Y14" s="56">
        <v>24</v>
      </c>
      <c r="Z14" s="56">
        <v>21</v>
      </c>
      <c r="AA14" s="56">
        <v>21</v>
      </c>
      <c r="AB14" s="56">
        <v>17</v>
      </c>
      <c r="AC14" s="56">
        <v>28</v>
      </c>
      <c r="AD14" s="56">
        <v>41</v>
      </c>
      <c r="AE14" s="56">
        <v>55</v>
      </c>
      <c r="AF14" s="56">
        <v>56</v>
      </c>
      <c r="AG14" s="63">
        <f>SUM(B14:AF14)</f>
        <v>1039</v>
      </c>
      <c r="AH14" s="63"/>
      <c r="AI14" s="63">
        <f>AG14</f>
        <v>1039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Y14" s="63"/>
      <c r="AZ14" s="63"/>
      <c r="BA14" s="63"/>
      <c r="BB14" s="63"/>
      <c r="BC14" s="63"/>
      <c r="BF14" s="112"/>
      <c r="BG14" s="112"/>
      <c r="BH14" s="113"/>
      <c r="BI14" s="114"/>
    </row>
    <row r="15" spans="1:61" ht="21">
      <c r="A15" s="55" t="s">
        <v>21</v>
      </c>
      <c r="B15" s="56">
        <v>37</v>
      </c>
      <c r="C15" s="56">
        <v>13</v>
      </c>
      <c r="D15" s="56">
        <v>16</v>
      </c>
      <c r="E15" s="56">
        <v>9</v>
      </c>
      <c r="F15" s="56">
        <v>16</v>
      </c>
      <c r="G15" s="56">
        <v>16</v>
      </c>
      <c r="H15" s="56">
        <v>36</v>
      </c>
      <c r="I15" s="56">
        <v>34</v>
      </c>
      <c r="J15" s="56">
        <v>32</v>
      </c>
      <c r="K15" s="56">
        <v>14</v>
      </c>
      <c r="L15" s="56">
        <v>8</v>
      </c>
      <c r="M15" s="56">
        <v>15</v>
      </c>
      <c r="N15" s="56">
        <v>16</v>
      </c>
      <c r="O15" s="56">
        <v>14</v>
      </c>
      <c r="P15" s="56">
        <v>19</v>
      </c>
      <c r="Q15" s="56">
        <v>30</v>
      </c>
      <c r="R15" s="56">
        <v>15</v>
      </c>
      <c r="S15" s="56">
        <v>27</v>
      </c>
      <c r="T15" s="56">
        <v>27</v>
      </c>
      <c r="U15" s="56">
        <v>20</v>
      </c>
      <c r="V15" s="56">
        <v>13</v>
      </c>
      <c r="W15" s="56">
        <v>17</v>
      </c>
      <c r="X15" s="56">
        <v>26</v>
      </c>
      <c r="Y15" s="56">
        <v>12</v>
      </c>
      <c r="Z15" s="56">
        <v>12</v>
      </c>
      <c r="AA15" s="56">
        <v>9</v>
      </c>
      <c r="AB15" s="56">
        <v>9</v>
      </c>
      <c r="AC15" s="56">
        <v>15</v>
      </c>
      <c r="AD15" s="56">
        <v>23</v>
      </c>
      <c r="AE15" s="56">
        <v>27</v>
      </c>
      <c r="AF15" s="56">
        <v>23</v>
      </c>
      <c r="AG15" s="63">
        <f t="shared" ref="AG15:AG22" si="16">SUM(B15:AF15)</f>
        <v>600</v>
      </c>
      <c r="AH15" s="63"/>
      <c r="AI15" s="63">
        <f>AG15+AH17+AH18+AH19</f>
        <v>600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Y15" s="94" t="s">
        <v>35</v>
      </c>
      <c r="AZ15" s="95" t="s">
        <v>36</v>
      </c>
      <c r="BA15" s="95" t="s">
        <v>2</v>
      </c>
      <c r="BB15" s="95" t="s">
        <v>37</v>
      </c>
      <c r="BC15" s="96" t="s">
        <v>38</v>
      </c>
      <c r="BF15" s="112"/>
      <c r="BG15" s="112"/>
      <c r="BH15" s="113"/>
      <c r="BI15" s="112"/>
    </row>
    <row r="16" spans="1:61" ht="18.75" customHeight="1">
      <c r="A16" s="55" t="s">
        <v>22</v>
      </c>
      <c r="B16" s="125">
        <v>36</v>
      </c>
      <c r="C16" s="125">
        <v>12</v>
      </c>
      <c r="D16" s="125">
        <v>16</v>
      </c>
      <c r="E16" s="125">
        <v>8</v>
      </c>
      <c r="F16" s="125">
        <v>15</v>
      </c>
      <c r="G16" s="125">
        <v>16</v>
      </c>
      <c r="H16" s="125">
        <v>34</v>
      </c>
      <c r="I16" s="125">
        <v>32</v>
      </c>
      <c r="J16" s="125">
        <v>31</v>
      </c>
      <c r="K16" s="125">
        <v>14</v>
      </c>
      <c r="L16" s="125">
        <v>8</v>
      </c>
      <c r="M16" s="125">
        <v>15</v>
      </c>
      <c r="N16" s="125">
        <v>16</v>
      </c>
      <c r="O16" s="125">
        <v>12</v>
      </c>
      <c r="P16" s="125">
        <v>18</v>
      </c>
      <c r="Q16" s="125">
        <v>28</v>
      </c>
      <c r="R16" s="125">
        <v>15</v>
      </c>
      <c r="S16" s="125">
        <v>26</v>
      </c>
      <c r="T16" s="125">
        <v>26</v>
      </c>
      <c r="U16" s="125">
        <v>20</v>
      </c>
      <c r="V16" s="125">
        <v>7</v>
      </c>
      <c r="W16" s="125">
        <v>16</v>
      </c>
      <c r="X16" s="125">
        <v>25</v>
      </c>
      <c r="Y16" s="125">
        <v>12</v>
      </c>
      <c r="Z16" s="125">
        <v>12</v>
      </c>
      <c r="AA16" s="125">
        <v>9</v>
      </c>
      <c r="AB16" s="125">
        <v>9</v>
      </c>
      <c r="AC16" s="125">
        <v>14</v>
      </c>
      <c r="AD16" s="125">
        <v>22</v>
      </c>
      <c r="AE16" s="125">
        <v>25</v>
      </c>
      <c r="AF16" s="125">
        <v>23</v>
      </c>
      <c r="AG16" s="63">
        <f t="shared" si="16"/>
        <v>572</v>
      </c>
      <c r="AH16" s="63"/>
      <c r="AI16" s="63">
        <f>AG16+AH17+AH18+AH19</f>
        <v>572</v>
      </c>
      <c r="AK16" s="265" t="s">
        <v>340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Y16" s="97">
        <v>100</v>
      </c>
      <c r="AZ16" s="98">
        <v>0.02</v>
      </c>
      <c r="BA16" s="63">
        <f t="shared" ref="BA16:BA25" si="17">AY16*AZ16</f>
        <v>2</v>
      </c>
      <c r="BB16" s="63">
        <v>1</v>
      </c>
      <c r="BC16" s="99">
        <f>BA16-BB16</f>
        <v>1</v>
      </c>
      <c r="BF16" s="112"/>
      <c r="BG16" s="112"/>
      <c r="BH16" s="113"/>
      <c r="BI16" s="114"/>
    </row>
    <row r="17" spans="1:61" ht="18.75" customHeight="1">
      <c r="A17" s="55" t="s">
        <v>23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1</v>
      </c>
      <c r="K17" s="125">
        <v>0</v>
      </c>
      <c r="L17" s="125">
        <v>0</v>
      </c>
      <c r="M17" s="125">
        <v>0</v>
      </c>
      <c r="N17" s="125">
        <v>0</v>
      </c>
      <c r="O17" s="125">
        <v>2</v>
      </c>
      <c r="P17" s="125">
        <v>0</v>
      </c>
      <c r="Q17" s="125">
        <v>1</v>
      </c>
      <c r="R17" s="125">
        <v>0</v>
      </c>
      <c r="S17" s="125">
        <v>0</v>
      </c>
      <c r="T17" s="125">
        <v>0</v>
      </c>
      <c r="U17" s="125">
        <v>0</v>
      </c>
      <c r="V17" s="125">
        <v>2</v>
      </c>
      <c r="W17" s="125">
        <v>1</v>
      </c>
      <c r="X17" s="125">
        <v>1</v>
      </c>
      <c r="Y17" s="125">
        <v>0</v>
      </c>
      <c r="Z17" s="125">
        <v>0</v>
      </c>
      <c r="AA17" s="125">
        <v>0</v>
      </c>
      <c r="AB17" s="125">
        <v>0</v>
      </c>
      <c r="AC17" s="125">
        <v>1</v>
      </c>
      <c r="AD17" s="125">
        <v>0</v>
      </c>
      <c r="AE17" s="125">
        <v>0</v>
      </c>
      <c r="AF17" s="125">
        <v>0</v>
      </c>
      <c r="AG17" s="63">
        <f t="shared" si="16"/>
        <v>9</v>
      </c>
      <c r="AH17" s="63"/>
      <c r="AI17" s="63">
        <f t="shared" ref="AI17:AI22" si="18">AG17-AH17</f>
        <v>9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70"/>
      <c r="AY17" s="97">
        <v>200</v>
      </c>
      <c r="AZ17" s="98">
        <v>0.02</v>
      </c>
      <c r="BA17" s="63">
        <f t="shared" si="17"/>
        <v>4</v>
      </c>
      <c r="BB17" s="63">
        <v>1</v>
      </c>
      <c r="BC17" s="99">
        <f t="shared" ref="BC17:BC25" si="19">BA17-BB17</f>
        <v>3</v>
      </c>
      <c r="BF17" s="112"/>
      <c r="BG17" s="112"/>
      <c r="BH17" s="113"/>
      <c r="BI17" s="112"/>
    </row>
    <row r="18" spans="1:61" ht="23.25">
      <c r="A18" s="55" t="s">
        <v>24</v>
      </c>
      <c r="B18" s="125">
        <v>0</v>
      </c>
      <c r="C18" s="125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1</v>
      </c>
      <c r="W18" s="125">
        <v>0</v>
      </c>
      <c r="X18" s="125">
        <v>0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  <c r="AD18" s="125">
        <v>0</v>
      </c>
      <c r="AE18" s="125">
        <v>0</v>
      </c>
      <c r="AF18" s="125">
        <v>0</v>
      </c>
      <c r="AG18" s="63">
        <f t="shared" si="16"/>
        <v>1</v>
      </c>
      <c r="AH18" s="63"/>
      <c r="AI18" s="63">
        <f t="shared" si="18"/>
        <v>1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65" t="s">
        <v>305</v>
      </c>
      <c r="AU18" s="76" t="s">
        <v>14</v>
      </c>
      <c r="AV18" s="76" t="s">
        <v>15</v>
      </c>
      <c r="AW18" s="100" t="s">
        <v>2</v>
      </c>
      <c r="AY18" s="97">
        <v>300</v>
      </c>
      <c r="AZ18" s="98">
        <v>0.02</v>
      </c>
      <c r="BA18" s="63">
        <f t="shared" si="17"/>
        <v>6</v>
      </c>
      <c r="BB18" s="63">
        <v>1</v>
      </c>
      <c r="BC18" s="99">
        <f t="shared" si="19"/>
        <v>5</v>
      </c>
      <c r="BF18" s="115"/>
      <c r="BG18" s="115"/>
      <c r="BH18" s="115"/>
      <c r="BI18" s="112"/>
    </row>
    <row r="19" spans="1:61" ht="23.25">
      <c r="A19" s="55" t="s">
        <v>26</v>
      </c>
      <c r="B19" s="125">
        <v>1</v>
      </c>
      <c r="C19" s="125">
        <v>1</v>
      </c>
      <c r="D19" s="125">
        <v>0</v>
      </c>
      <c r="E19" s="125">
        <v>1</v>
      </c>
      <c r="F19" s="125">
        <v>1</v>
      </c>
      <c r="G19" s="125">
        <v>0</v>
      </c>
      <c r="H19" s="125">
        <v>2</v>
      </c>
      <c r="I19" s="125">
        <v>2</v>
      </c>
      <c r="J19" s="125">
        <v>0</v>
      </c>
      <c r="K19" s="125">
        <v>0</v>
      </c>
      <c r="L19" s="125">
        <v>0</v>
      </c>
      <c r="M19" s="125">
        <v>0</v>
      </c>
      <c r="N19" s="125">
        <v>0</v>
      </c>
      <c r="O19" s="125">
        <v>0</v>
      </c>
      <c r="P19" s="125">
        <v>1</v>
      </c>
      <c r="Q19" s="125">
        <v>1</v>
      </c>
      <c r="R19" s="125">
        <v>0</v>
      </c>
      <c r="S19" s="125">
        <v>1</v>
      </c>
      <c r="T19" s="125">
        <v>1</v>
      </c>
      <c r="U19" s="125">
        <v>0</v>
      </c>
      <c r="V19" s="125">
        <v>3</v>
      </c>
      <c r="W19" s="125">
        <v>0</v>
      </c>
      <c r="X19" s="125">
        <v>0</v>
      </c>
      <c r="Y19" s="125">
        <v>0</v>
      </c>
      <c r="Z19" s="125">
        <v>0</v>
      </c>
      <c r="AA19" s="125">
        <v>0</v>
      </c>
      <c r="AB19" s="125">
        <v>0</v>
      </c>
      <c r="AC19" s="125">
        <v>0</v>
      </c>
      <c r="AD19" s="125">
        <v>1</v>
      </c>
      <c r="AE19" s="125">
        <v>2</v>
      </c>
      <c r="AF19" s="125">
        <v>0</v>
      </c>
      <c r="AG19" s="63">
        <f t="shared" si="16"/>
        <v>18</v>
      </c>
      <c r="AH19" s="63"/>
      <c r="AI19" s="63">
        <f t="shared" si="18"/>
        <v>18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101"/>
      <c r="AY19" s="97">
        <v>400</v>
      </c>
      <c r="AZ19" s="98">
        <v>0.02</v>
      </c>
      <c r="BA19" s="63">
        <f t="shared" si="17"/>
        <v>8</v>
      </c>
      <c r="BB19" s="63">
        <v>1</v>
      </c>
      <c r="BC19" s="99">
        <f t="shared" si="19"/>
        <v>7</v>
      </c>
      <c r="BF19" s="112"/>
      <c r="BG19" s="112"/>
      <c r="BH19" s="113"/>
      <c r="BI19" s="116"/>
    </row>
    <row r="20" spans="1:61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6"/>
        <v>0</v>
      </c>
      <c r="AH20" s="70"/>
      <c r="AI20" s="63">
        <f t="shared" si="18"/>
        <v>0</v>
      </c>
      <c r="AK20" s="77" t="s">
        <v>40</v>
      </c>
      <c r="AL20" s="79">
        <f>+AL5/AL4</f>
        <v>0.5923862581244197</v>
      </c>
      <c r="AM20" s="79">
        <f t="shared" ref="AM20:AW21" si="20">+AM5/AM4</f>
        <v>0.57747834456207892</v>
      </c>
      <c r="AN20" s="79">
        <f t="shared" si="20"/>
        <v>0.64717948717948715</v>
      </c>
      <c r="AO20" s="79">
        <f t="shared" si="20"/>
        <v>0.70516717325227962</v>
      </c>
      <c r="AP20" s="79">
        <f t="shared" si="20"/>
        <v>0.60380116959064323</v>
      </c>
      <c r="AQ20" s="79">
        <f t="shared" si="20"/>
        <v>0.54449760765550237</v>
      </c>
      <c r="AR20" s="79">
        <f t="shared" si="20"/>
        <v>0.53685168334849864</v>
      </c>
      <c r="AS20" s="79">
        <f>+AS5/AS4</f>
        <v>0.51380368098159512</v>
      </c>
      <c r="AT20" s="79">
        <f>+AT5/AT4</f>
        <v>0.499383477188656</v>
      </c>
      <c r="AU20" s="79">
        <f t="shared" si="20"/>
        <v>0.45486600846262343</v>
      </c>
      <c r="AV20" s="79">
        <f t="shared" si="20"/>
        <v>0.47289719626168225</v>
      </c>
      <c r="AW20" s="102">
        <f t="shared" si="20"/>
        <v>0.54838998211091239</v>
      </c>
      <c r="AY20" s="97">
        <v>500</v>
      </c>
      <c r="AZ20" s="98">
        <v>0.02</v>
      </c>
      <c r="BA20" s="63">
        <f t="shared" si="17"/>
        <v>10</v>
      </c>
      <c r="BB20" s="63">
        <v>1</v>
      </c>
      <c r="BC20" s="99">
        <f t="shared" si="19"/>
        <v>9</v>
      </c>
      <c r="BF20" s="112"/>
      <c r="BG20" s="112"/>
      <c r="BH20" s="113"/>
      <c r="BI20" s="116"/>
    </row>
    <row r="21" spans="1:61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6"/>
        <v>0</v>
      </c>
      <c r="AH21" s="71"/>
      <c r="AI21" s="63">
        <f t="shared" si="18"/>
        <v>0</v>
      </c>
      <c r="AK21" s="77" t="s">
        <v>41</v>
      </c>
      <c r="AL21" s="79">
        <f>+AL6/AL5</f>
        <v>0.98432601880877746</v>
      </c>
      <c r="AM21" s="79">
        <f t="shared" si="20"/>
        <v>0.95333333333333337</v>
      </c>
      <c r="AN21" s="79">
        <f t="shared" si="20"/>
        <v>0.92551505546751189</v>
      </c>
      <c r="AO21" s="79">
        <f t="shared" si="20"/>
        <v>0.92241379310344829</v>
      </c>
      <c r="AP21" s="79">
        <f t="shared" si="20"/>
        <v>0.92009685230024219</v>
      </c>
      <c r="AQ21" s="79">
        <f t="shared" si="20"/>
        <v>0.89982425307557112</v>
      </c>
      <c r="AR21" s="79">
        <f t="shared" si="20"/>
        <v>0.89830508474576276</v>
      </c>
      <c r="AS21" s="79">
        <f t="shared" si="20"/>
        <v>0.85671641791044773</v>
      </c>
      <c r="AT21" s="79">
        <f t="shared" si="20"/>
        <v>0.88641975308641974</v>
      </c>
      <c r="AU21" s="79">
        <f t="shared" si="20"/>
        <v>0.94573643410852715</v>
      </c>
      <c r="AV21" s="79">
        <f t="shared" si="20"/>
        <v>1</v>
      </c>
      <c r="AW21" s="102">
        <f t="shared" si="20"/>
        <v>0.92692872288370576</v>
      </c>
      <c r="AY21" s="97">
        <v>600</v>
      </c>
      <c r="AZ21" s="98">
        <v>0.02</v>
      </c>
      <c r="BA21" s="63">
        <f t="shared" si="17"/>
        <v>12</v>
      </c>
      <c r="BB21" s="63">
        <v>1</v>
      </c>
      <c r="BC21" s="99">
        <f t="shared" si="19"/>
        <v>11</v>
      </c>
      <c r="BF21" s="112"/>
      <c r="BG21" s="112"/>
      <c r="BH21" s="113"/>
      <c r="BI21" s="116"/>
    </row>
    <row r="22" spans="1:61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6"/>
        <v>0</v>
      </c>
      <c r="AH22" s="63"/>
      <c r="AI22" s="63">
        <f t="shared" si="18"/>
        <v>0</v>
      </c>
      <c r="AK22" s="77" t="s">
        <v>23</v>
      </c>
      <c r="AL22" s="79">
        <f>AL7/AL5</f>
        <v>3.134796238244514E-3</v>
      </c>
      <c r="AM22" s="79">
        <f t="shared" ref="AM22:AW22" si="21">AM7/AM5</f>
        <v>1.4999999999999999E-2</v>
      </c>
      <c r="AN22" s="79">
        <f t="shared" si="21"/>
        <v>2.5356576862123614E-2</v>
      </c>
      <c r="AO22" s="79">
        <f t="shared" si="21"/>
        <v>1.5086206896551725E-2</v>
      </c>
      <c r="AP22" s="79">
        <f t="shared" si="21"/>
        <v>7.2639225181598066E-3</v>
      </c>
      <c r="AQ22" s="79">
        <f t="shared" si="21"/>
        <v>1.054481546572935E-2</v>
      </c>
      <c r="AR22" s="79">
        <f t="shared" si="21"/>
        <v>1.5254237288135594E-2</v>
      </c>
      <c r="AS22" s="79">
        <f t="shared" si="21"/>
        <v>1.1940298507462687E-2</v>
      </c>
      <c r="AT22" s="79">
        <f t="shared" si="21"/>
        <v>4.9382716049382715E-3</v>
      </c>
      <c r="AU22" s="79">
        <f t="shared" si="21"/>
        <v>3.1007751937984496E-3</v>
      </c>
      <c r="AV22" s="79">
        <f t="shared" si="21"/>
        <v>0</v>
      </c>
      <c r="AW22" s="102">
        <f t="shared" si="21"/>
        <v>1.0438753873756321E-2</v>
      </c>
      <c r="AY22" s="97">
        <v>700</v>
      </c>
      <c r="AZ22" s="98">
        <v>0.02</v>
      </c>
      <c r="BA22" s="63">
        <f t="shared" si="17"/>
        <v>14</v>
      </c>
      <c r="BB22" s="63">
        <v>1</v>
      </c>
      <c r="BC22" s="99">
        <f t="shared" si="19"/>
        <v>13</v>
      </c>
      <c r="BF22" s="112"/>
      <c r="BG22" s="112"/>
      <c r="BH22" s="113"/>
      <c r="BI22" s="116"/>
    </row>
    <row r="23" spans="1:61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0</v>
      </c>
      <c r="AM23" s="79">
        <f t="shared" ref="AM23:AW23" si="22">AM8/AM5</f>
        <v>1.6666666666666668E-3</v>
      </c>
      <c r="AN23" s="79">
        <f t="shared" si="22"/>
        <v>7.9239302694136295E-3</v>
      </c>
      <c r="AO23" s="79">
        <f t="shared" si="22"/>
        <v>4.3103448275862072E-2</v>
      </c>
      <c r="AP23" s="79">
        <f t="shared" si="22"/>
        <v>4.8426150121065378E-3</v>
      </c>
      <c r="AQ23" s="79">
        <f t="shared" si="22"/>
        <v>3.5149384885764497E-3</v>
      </c>
      <c r="AR23" s="79">
        <f t="shared" si="22"/>
        <v>1.6949152542372881E-3</v>
      </c>
      <c r="AS23" s="79">
        <f t="shared" si="22"/>
        <v>5.9701492537313433E-3</v>
      </c>
      <c r="AT23" s="79">
        <f t="shared" si="22"/>
        <v>0</v>
      </c>
      <c r="AU23" s="79">
        <f t="shared" si="22"/>
        <v>0</v>
      </c>
      <c r="AV23" s="79">
        <f t="shared" si="22"/>
        <v>0</v>
      </c>
      <c r="AW23" s="102">
        <f t="shared" si="22"/>
        <v>5.7086935247104877E-3</v>
      </c>
      <c r="AY23" s="97">
        <v>800</v>
      </c>
      <c r="AZ23" s="98">
        <v>0.02</v>
      </c>
      <c r="BA23" s="63">
        <f t="shared" si="17"/>
        <v>16</v>
      </c>
      <c r="BB23" s="63">
        <v>1</v>
      </c>
      <c r="BC23" s="99">
        <f t="shared" si="19"/>
        <v>15</v>
      </c>
      <c r="BF23" s="112"/>
      <c r="BG23" s="112"/>
      <c r="BH23" s="113"/>
      <c r="BI23" s="112"/>
    </row>
    <row r="24" spans="1:61" ht="23.25">
      <c r="A24" s="53"/>
      <c r="B24" s="54">
        <v>46143</v>
      </c>
      <c r="C24" s="54">
        <v>46144</v>
      </c>
      <c r="D24" s="54">
        <v>46145</v>
      </c>
      <c r="E24" s="54">
        <v>46146</v>
      </c>
      <c r="F24" s="54">
        <v>46147</v>
      </c>
      <c r="G24" s="54">
        <v>46148</v>
      </c>
      <c r="H24" s="54">
        <v>46149</v>
      </c>
      <c r="I24" s="54">
        <v>46150</v>
      </c>
      <c r="J24" s="54">
        <v>46151</v>
      </c>
      <c r="K24" s="54">
        <v>46152</v>
      </c>
      <c r="L24" s="54">
        <v>46153</v>
      </c>
      <c r="M24" s="54">
        <v>46154</v>
      </c>
      <c r="N24" s="54">
        <v>46155</v>
      </c>
      <c r="O24" s="54">
        <v>46156</v>
      </c>
      <c r="P24" s="54">
        <v>46157</v>
      </c>
      <c r="Q24" s="54">
        <v>46158</v>
      </c>
      <c r="R24" s="54">
        <v>46159</v>
      </c>
      <c r="S24" s="54">
        <v>46160</v>
      </c>
      <c r="T24" s="54">
        <v>46161</v>
      </c>
      <c r="U24" s="54">
        <v>46162</v>
      </c>
      <c r="V24" s="54">
        <v>46163</v>
      </c>
      <c r="W24" s="54">
        <v>46164</v>
      </c>
      <c r="X24" s="54">
        <v>46165</v>
      </c>
      <c r="Y24" s="54">
        <v>46166</v>
      </c>
      <c r="Z24" s="54">
        <v>46167</v>
      </c>
      <c r="AA24" s="54">
        <v>46168</v>
      </c>
      <c r="AB24" s="54">
        <v>46169</v>
      </c>
      <c r="AC24" s="54">
        <v>46170</v>
      </c>
      <c r="AD24" s="54">
        <v>46171</v>
      </c>
      <c r="AE24" s="54">
        <v>46172</v>
      </c>
      <c r="AF24" s="54">
        <v>46173</v>
      </c>
      <c r="AG24" s="61" t="s">
        <v>2</v>
      </c>
      <c r="AH24" s="61" t="s">
        <v>3</v>
      </c>
      <c r="AI24" s="62" t="s">
        <v>43</v>
      </c>
      <c r="AK24" s="77" t="s">
        <v>26</v>
      </c>
      <c r="AL24" s="79">
        <f>AL9/AL5</f>
        <v>1.2539184952978056E-2</v>
      </c>
      <c r="AM24" s="79">
        <f t="shared" ref="AM24:AW25" si="23">AM9/AM5</f>
        <v>0.03</v>
      </c>
      <c r="AN24" s="79">
        <f t="shared" si="23"/>
        <v>4.1204437400950873E-2</v>
      </c>
      <c r="AO24" s="79">
        <f t="shared" si="23"/>
        <v>1.9396551724137932E-2</v>
      </c>
      <c r="AP24" s="79">
        <f t="shared" si="23"/>
        <v>6.7796610169491525E-2</v>
      </c>
      <c r="AQ24" s="79">
        <f t="shared" si="23"/>
        <v>8.6115992970123026E-2</v>
      </c>
      <c r="AR24" s="79">
        <f t="shared" si="23"/>
        <v>8.4745762711864403E-2</v>
      </c>
      <c r="AS24" s="79">
        <f t="shared" si="23"/>
        <v>0.1253731343283582</v>
      </c>
      <c r="AT24" s="79">
        <f t="shared" si="23"/>
        <v>0.10864197530864197</v>
      </c>
      <c r="AU24" s="79">
        <f t="shared" si="23"/>
        <v>5.1162790697674418E-2</v>
      </c>
      <c r="AV24" s="79">
        <f t="shared" si="23"/>
        <v>0</v>
      </c>
      <c r="AW24" s="102">
        <f t="shared" si="23"/>
        <v>5.6923829717827432E-2</v>
      </c>
      <c r="AY24" s="97">
        <v>900</v>
      </c>
      <c r="AZ24" s="98">
        <v>0.02</v>
      </c>
      <c r="BA24" s="63">
        <f t="shared" si="17"/>
        <v>18</v>
      </c>
      <c r="BB24" s="63">
        <v>1</v>
      </c>
      <c r="BC24" s="99">
        <f t="shared" si="19"/>
        <v>17</v>
      </c>
      <c r="BF24" s="117"/>
      <c r="BG24" s="117"/>
      <c r="BH24" s="118"/>
      <c r="BI24" s="112"/>
    </row>
    <row r="25" spans="1:61" ht="24" thickBot="1">
      <c r="A25" s="55" t="s">
        <v>5</v>
      </c>
      <c r="B25" s="56">
        <v>60</v>
      </c>
      <c r="C25" s="56">
        <v>32</v>
      </c>
      <c r="D25" s="56">
        <v>22</v>
      </c>
      <c r="E25" s="56">
        <v>18</v>
      </c>
      <c r="F25" s="56">
        <v>27</v>
      </c>
      <c r="G25" s="56">
        <v>32</v>
      </c>
      <c r="H25" s="56">
        <v>32</v>
      </c>
      <c r="I25" s="56">
        <v>51</v>
      </c>
      <c r="J25" s="56">
        <v>62</v>
      </c>
      <c r="K25" s="56">
        <v>22</v>
      </c>
      <c r="L25" s="56">
        <v>28</v>
      </c>
      <c r="M25" s="56">
        <v>15</v>
      </c>
      <c r="N25" s="56">
        <v>19</v>
      </c>
      <c r="O25" s="56">
        <v>29</v>
      </c>
      <c r="P25" s="56">
        <v>37</v>
      </c>
      <c r="Q25" s="56">
        <v>57</v>
      </c>
      <c r="R25" s="56">
        <v>29</v>
      </c>
      <c r="S25" s="56">
        <v>23</v>
      </c>
      <c r="T25" s="56">
        <v>25</v>
      </c>
      <c r="U25" s="56">
        <v>26</v>
      </c>
      <c r="V25" s="56">
        <v>24</v>
      </c>
      <c r="W25" s="56">
        <v>36</v>
      </c>
      <c r="X25" s="56">
        <v>47</v>
      </c>
      <c r="Y25" s="56">
        <v>29</v>
      </c>
      <c r="Z25" s="56">
        <v>24</v>
      </c>
      <c r="AA25" s="56">
        <v>22</v>
      </c>
      <c r="AB25" s="56">
        <v>20</v>
      </c>
      <c r="AC25" s="56">
        <v>26</v>
      </c>
      <c r="AD25" s="56">
        <v>21</v>
      </c>
      <c r="AE25" s="56">
        <v>56</v>
      </c>
      <c r="AF25" s="56">
        <v>24</v>
      </c>
      <c r="AG25" s="63">
        <f>SUM(B25:AF25)</f>
        <v>975</v>
      </c>
      <c r="AH25" s="63"/>
      <c r="AI25" s="63">
        <f>AG25</f>
        <v>975</v>
      </c>
      <c r="AK25" s="77" t="s">
        <v>28</v>
      </c>
      <c r="AL25" s="79">
        <f t="shared" ref="AL25:AW28" si="24">AL10/AL6</f>
        <v>0</v>
      </c>
      <c r="AM25" s="79">
        <f t="shared" si="24"/>
        <v>0</v>
      </c>
      <c r="AN25" s="79">
        <f t="shared" si="24"/>
        <v>0</v>
      </c>
      <c r="AO25" s="79">
        <f t="shared" si="24"/>
        <v>0</v>
      </c>
      <c r="AP25" s="79">
        <f t="shared" si="24"/>
        <v>0</v>
      </c>
      <c r="AQ25" s="79">
        <f t="shared" si="24"/>
        <v>0</v>
      </c>
      <c r="AR25" s="79">
        <f t="shared" si="24"/>
        <v>0</v>
      </c>
      <c r="AS25" s="79">
        <f t="shared" si="24"/>
        <v>0</v>
      </c>
      <c r="AT25" s="79">
        <f t="shared" si="23"/>
        <v>0</v>
      </c>
      <c r="AU25" s="79">
        <f t="shared" si="24"/>
        <v>0</v>
      </c>
      <c r="AV25" s="79">
        <f t="shared" si="24"/>
        <v>0</v>
      </c>
      <c r="AW25" s="102">
        <f t="shared" si="24"/>
        <v>0</v>
      </c>
      <c r="AY25" s="103">
        <v>1000</v>
      </c>
      <c r="AZ25" s="104">
        <v>0.02</v>
      </c>
      <c r="BA25" s="105">
        <f t="shared" si="17"/>
        <v>20</v>
      </c>
      <c r="BB25" s="105">
        <v>1</v>
      </c>
      <c r="BC25" s="106">
        <f t="shared" si="19"/>
        <v>19</v>
      </c>
      <c r="BF25" s="117"/>
      <c r="BG25" s="117"/>
      <c r="BH25" s="118"/>
      <c r="BI25" s="114"/>
    </row>
    <row r="26" spans="1:61" ht="24" thickBot="1">
      <c r="A26" s="55" t="s">
        <v>21</v>
      </c>
      <c r="B26" s="56">
        <v>41</v>
      </c>
      <c r="C26" s="56">
        <v>19</v>
      </c>
      <c r="D26" s="56">
        <v>18</v>
      </c>
      <c r="E26" s="56">
        <v>13</v>
      </c>
      <c r="F26" s="56">
        <v>21</v>
      </c>
      <c r="G26" s="56">
        <v>21</v>
      </c>
      <c r="H26" s="56">
        <v>19</v>
      </c>
      <c r="I26" s="56">
        <v>34</v>
      </c>
      <c r="J26" s="56">
        <v>44</v>
      </c>
      <c r="K26" s="56">
        <v>15</v>
      </c>
      <c r="L26" s="56">
        <v>18</v>
      </c>
      <c r="M26" s="56">
        <v>10</v>
      </c>
      <c r="N26" s="56">
        <v>11</v>
      </c>
      <c r="O26" s="56">
        <v>21</v>
      </c>
      <c r="P26" s="56">
        <v>24</v>
      </c>
      <c r="Q26" s="56">
        <v>38</v>
      </c>
      <c r="R26" s="56">
        <v>13</v>
      </c>
      <c r="S26" s="56">
        <v>18</v>
      </c>
      <c r="T26" s="56">
        <v>18</v>
      </c>
      <c r="U26" s="56">
        <v>14</v>
      </c>
      <c r="V26" s="56">
        <v>19</v>
      </c>
      <c r="W26" s="56">
        <v>21</v>
      </c>
      <c r="X26" s="56">
        <v>30</v>
      </c>
      <c r="Y26" s="56">
        <v>17</v>
      </c>
      <c r="Z26" s="56">
        <v>13</v>
      </c>
      <c r="AA26" s="56">
        <v>13</v>
      </c>
      <c r="AB26" s="56">
        <v>13</v>
      </c>
      <c r="AC26" s="56">
        <v>13</v>
      </c>
      <c r="AD26" s="56">
        <v>15</v>
      </c>
      <c r="AE26" s="56">
        <v>35</v>
      </c>
      <c r="AF26" s="56">
        <v>12</v>
      </c>
      <c r="AG26" s="63">
        <f t="shared" ref="AG26:AG33" si="25">SUM(B26:AF26)</f>
        <v>631</v>
      </c>
      <c r="AH26" s="63"/>
      <c r="AI26" s="63">
        <f>AG26+AH28+AH29+AH30</f>
        <v>631</v>
      </c>
      <c r="AK26" s="77" t="s">
        <v>29</v>
      </c>
      <c r="AL26" s="79">
        <f t="shared" si="24"/>
        <v>0</v>
      </c>
      <c r="AM26" s="79">
        <f t="shared" si="24"/>
        <v>0</v>
      </c>
      <c r="AN26" s="79">
        <f t="shared" si="24"/>
        <v>0</v>
      </c>
      <c r="AO26" s="79">
        <f t="shared" si="24"/>
        <v>0</v>
      </c>
      <c r="AP26" s="79">
        <f t="shared" si="24"/>
        <v>0</v>
      </c>
      <c r="AQ26" s="79">
        <f t="shared" si="24"/>
        <v>0</v>
      </c>
      <c r="AR26" s="79">
        <f t="shared" si="24"/>
        <v>0</v>
      </c>
      <c r="AS26" s="79">
        <f t="shared" si="24"/>
        <v>0</v>
      </c>
      <c r="AT26" s="79">
        <f t="shared" si="24"/>
        <v>0</v>
      </c>
      <c r="AU26" s="79">
        <f t="shared" si="24"/>
        <v>0</v>
      </c>
      <c r="AV26" s="79" t="e">
        <f t="shared" si="24"/>
        <v>#DIV/0!</v>
      </c>
      <c r="AW26" s="102">
        <f t="shared" si="24"/>
        <v>0</v>
      </c>
      <c r="AY26" s="63"/>
      <c r="AZ26" s="63"/>
      <c r="BA26" s="63"/>
      <c r="BB26" s="63"/>
      <c r="BC26" s="63"/>
      <c r="BF26" s="117"/>
      <c r="BG26" s="117"/>
      <c r="BH26" s="118"/>
      <c r="BI26" s="119"/>
    </row>
    <row r="27" spans="1:61" ht="24" thickBot="1">
      <c r="A27" s="55" t="s">
        <v>22</v>
      </c>
      <c r="B27" s="125">
        <v>37</v>
      </c>
      <c r="C27" s="125">
        <v>17</v>
      </c>
      <c r="D27" s="125">
        <v>18</v>
      </c>
      <c r="E27" s="125">
        <v>13</v>
      </c>
      <c r="F27" s="125">
        <v>17</v>
      </c>
      <c r="G27" s="125">
        <v>19</v>
      </c>
      <c r="H27" s="125">
        <v>15</v>
      </c>
      <c r="I27" s="125">
        <v>33</v>
      </c>
      <c r="J27" s="125">
        <v>36</v>
      </c>
      <c r="K27" s="125">
        <v>15</v>
      </c>
      <c r="L27" s="125">
        <v>18</v>
      </c>
      <c r="M27" s="125">
        <v>10</v>
      </c>
      <c r="N27" s="125">
        <v>9</v>
      </c>
      <c r="O27" s="125">
        <v>18</v>
      </c>
      <c r="P27" s="125">
        <v>24</v>
      </c>
      <c r="Q27" s="125">
        <v>33</v>
      </c>
      <c r="R27" s="125">
        <v>12</v>
      </c>
      <c r="S27" s="125">
        <v>16</v>
      </c>
      <c r="T27" s="125">
        <v>18</v>
      </c>
      <c r="U27" s="125">
        <v>13</v>
      </c>
      <c r="V27" s="125">
        <v>19</v>
      </c>
      <c r="W27" s="125">
        <v>20</v>
      </c>
      <c r="X27" s="125">
        <v>29</v>
      </c>
      <c r="Y27" s="125">
        <v>17</v>
      </c>
      <c r="Z27" s="125">
        <v>11</v>
      </c>
      <c r="AA27" s="125">
        <v>13</v>
      </c>
      <c r="AB27" s="125">
        <v>13</v>
      </c>
      <c r="AC27" s="125">
        <v>13</v>
      </c>
      <c r="AD27" s="125">
        <v>14</v>
      </c>
      <c r="AE27" s="125">
        <v>32</v>
      </c>
      <c r="AF27" s="125">
        <v>12</v>
      </c>
      <c r="AG27" s="63">
        <f t="shared" si="25"/>
        <v>584</v>
      </c>
      <c r="AH27" s="63"/>
      <c r="AI27" s="63">
        <f>AG27+AH28+AH29+AH30</f>
        <v>584</v>
      </c>
      <c r="AK27" s="77" t="s">
        <v>31</v>
      </c>
      <c r="AL27" s="79" t="e">
        <f t="shared" si="24"/>
        <v>#DIV/0!</v>
      </c>
      <c r="AM27" s="79">
        <f t="shared" si="24"/>
        <v>0</v>
      </c>
      <c r="AN27" s="79">
        <f t="shared" si="24"/>
        <v>0</v>
      </c>
      <c r="AO27" s="79">
        <f t="shared" si="24"/>
        <v>0</v>
      </c>
      <c r="AP27" s="79">
        <f t="shared" si="24"/>
        <v>0</v>
      </c>
      <c r="AQ27" s="79">
        <f t="shared" si="24"/>
        <v>0</v>
      </c>
      <c r="AR27" s="79">
        <f t="shared" si="24"/>
        <v>0</v>
      </c>
      <c r="AS27" s="79">
        <f t="shared" si="24"/>
        <v>0</v>
      </c>
      <c r="AT27" s="79" t="e">
        <f t="shared" si="24"/>
        <v>#DIV/0!</v>
      </c>
      <c r="AU27" s="79" t="e">
        <f t="shared" si="24"/>
        <v>#DIV/0!</v>
      </c>
      <c r="AV27" s="79" t="e">
        <f>AV12/AV8</f>
        <v>#DIV/0!</v>
      </c>
      <c r="AW27" s="102">
        <f>AW12/AW8</f>
        <v>0</v>
      </c>
      <c r="AY27" s="108" t="s">
        <v>44</v>
      </c>
      <c r="AZ27" s="271" t="s">
        <v>45</v>
      </c>
      <c r="BA27" s="272"/>
      <c r="BB27" s="63"/>
      <c r="BC27" s="63"/>
      <c r="BF27" s="117"/>
      <c r="BG27" s="117"/>
      <c r="BH27" s="118"/>
      <c r="BI27" s="114"/>
    </row>
    <row r="28" spans="1:61" ht="23.25">
      <c r="A28" s="55" t="s">
        <v>23</v>
      </c>
      <c r="B28" s="125">
        <v>2</v>
      </c>
      <c r="C28" s="125">
        <v>0</v>
      </c>
      <c r="D28" s="125">
        <v>0</v>
      </c>
      <c r="E28" s="125">
        <v>0</v>
      </c>
      <c r="F28" s="125">
        <v>0</v>
      </c>
      <c r="G28" s="125">
        <v>1</v>
      </c>
      <c r="H28" s="125">
        <v>0</v>
      </c>
      <c r="I28" s="125">
        <v>0</v>
      </c>
      <c r="J28" s="125">
        <v>3</v>
      </c>
      <c r="K28" s="125">
        <v>0</v>
      </c>
      <c r="L28" s="125">
        <v>0</v>
      </c>
      <c r="M28" s="125">
        <v>0</v>
      </c>
      <c r="N28" s="125">
        <v>1</v>
      </c>
      <c r="O28" s="125">
        <v>3</v>
      </c>
      <c r="P28" s="125">
        <v>0</v>
      </c>
      <c r="Q28" s="125">
        <v>0</v>
      </c>
      <c r="R28" s="125">
        <v>1</v>
      </c>
      <c r="S28" s="125">
        <v>1</v>
      </c>
      <c r="T28" s="125">
        <v>0</v>
      </c>
      <c r="U28" s="125">
        <v>0</v>
      </c>
      <c r="V28" s="125">
        <v>0</v>
      </c>
      <c r="W28" s="125">
        <v>0</v>
      </c>
      <c r="X28" s="125">
        <v>0</v>
      </c>
      <c r="Y28" s="125">
        <v>0</v>
      </c>
      <c r="Z28" s="125">
        <v>1</v>
      </c>
      <c r="AA28" s="125">
        <v>0</v>
      </c>
      <c r="AB28" s="125">
        <v>0</v>
      </c>
      <c r="AC28" s="125">
        <v>0</v>
      </c>
      <c r="AD28" s="125">
        <v>0</v>
      </c>
      <c r="AE28" s="125">
        <v>3</v>
      </c>
      <c r="AF28" s="125">
        <v>0</v>
      </c>
      <c r="AG28" s="63">
        <f t="shared" si="25"/>
        <v>16</v>
      </c>
      <c r="AH28" s="63"/>
      <c r="AI28" s="63">
        <f t="shared" ref="AI28:AI33" si="26">AG28-AH28</f>
        <v>16</v>
      </c>
      <c r="AK28" s="80" t="s">
        <v>34</v>
      </c>
      <c r="AL28" s="81">
        <f>AL13/AL9</f>
        <v>1.25</v>
      </c>
      <c r="AM28" s="81">
        <f t="shared" si="24"/>
        <v>1.5</v>
      </c>
      <c r="AN28" s="81">
        <f t="shared" si="24"/>
        <v>1.6153846153846154</v>
      </c>
      <c r="AO28" s="81">
        <f t="shared" si="24"/>
        <v>1.7777777777777777</v>
      </c>
      <c r="AP28" s="81">
        <f t="shared" si="24"/>
        <v>1.1071428571428572</v>
      </c>
      <c r="AQ28" s="81">
        <f t="shared" si="24"/>
        <v>1.1224489795918366</v>
      </c>
      <c r="AR28" s="81">
        <f t="shared" si="24"/>
        <v>1.18</v>
      </c>
      <c r="AS28" s="81">
        <f t="shared" si="24"/>
        <v>1.0952380952380953</v>
      </c>
      <c r="AT28" s="81">
        <f t="shared" si="24"/>
        <v>1.0454545454545454</v>
      </c>
      <c r="AU28" s="81">
        <f t="shared" si="24"/>
        <v>1.0606060606060606</v>
      </c>
      <c r="AV28" s="81" t="e">
        <f t="shared" si="24"/>
        <v>#DIV/0!</v>
      </c>
      <c r="AW28" s="107">
        <f t="shared" si="24"/>
        <v>1.183381088825215</v>
      </c>
      <c r="AY28" s="97" t="s">
        <v>46</v>
      </c>
      <c r="AZ28" s="273">
        <v>100</v>
      </c>
      <c r="BA28" s="274"/>
      <c r="BB28" s="109"/>
      <c r="BC28" s="109"/>
      <c r="BF28" s="112"/>
      <c r="BG28" s="112"/>
      <c r="BH28" s="113"/>
      <c r="BI28" s="112"/>
    </row>
    <row r="29" spans="1:61" ht="21.75" thickBot="1">
      <c r="A29" s="55" t="s">
        <v>24</v>
      </c>
      <c r="B29" s="125">
        <v>1</v>
      </c>
      <c r="C29" s="125">
        <v>0</v>
      </c>
      <c r="D29" s="125">
        <v>0</v>
      </c>
      <c r="E29" s="125">
        <v>0</v>
      </c>
      <c r="F29" s="125">
        <v>0</v>
      </c>
      <c r="G29" s="125">
        <v>0</v>
      </c>
      <c r="H29" s="125">
        <v>0</v>
      </c>
      <c r="I29" s="125">
        <v>0</v>
      </c>
      <c r="J29" s="125">
        <v>2</v>
      </c>
      <c r="K29" s="125">
        <v>0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0</v>
      </c>
      <c r="W29" s="125">
        <v>1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125">
        <v>1</v>
      </c>
      <c r="AE29" s="125">
        <v>0</v>
      </c>
      <c r="AF29" s="125">
        <v>0</v>
      </c>
      <c r="AG29" s="63">
        <f t="shared" si="25"/>
        <v>5</v>
      </c>
      <c r="AH29" s="63"/>
      <c r="AI29" s="63">
        <f t="shared" si="26"/>
        <v>5</v>
      </c>
      <c r="AR29" s="82"/>
      <c r="AS29" s="83"/>
      <c r="AT29" s="83"/>
      <c r="AU29" s="82"/>
      <c r="AV29" s="82"/>
      <c r="AY29" s="103" t="s">
        <v>47</v>
      </c>
      <c r="AZ29" s="275">
        <v>50</v>
      </c>
      <c r="BA29" s="276"/>
      <c r="BB29" s="63"/>
      <c r="BC29" s="63"/>
      <c r="BF29" s="112"/>
      <c r="BG29" s="112"/>
      <c r="BH29" s="113"/>
      <c r="BI29" s="114"/>
    </row>
    <row r="30" spans="1:61" ht="21">
      <c r="A30" s="55" t="s">
        <v>26</v>
      </c>
      <c r="B30" s="125">
        <v>1</v>
      </c>
      <c r="C30" s="125">
        <v>2</v>
      </c>
      <c r="D30" s="125">
        <v>0</v>
      </c>
      <c r="E30" s="125">
        <v>0</v>
      </c>
      <c r="F30" s="125">
        <v>4</v>
      </c>
      <c r="G30" s="125">
        <v>1</v>
      </c>
      <c r="H30" s="125">
        <v>4</v>
      </c>
      <c r="I30" s="125">
        <v>1</v>
      </c>
      <c r="J30" s="125">
        <v>3</v>
      </c>
      <c r="K30" s="125">
        <v>0</v>
      </c>
      <c r="L30" s="125">
        <v>0</v>
      </c>
      <c r="M30" s="125">
        <v>0</v>
      </c>
      <c r="N30" s="125">
        <v>1</v>
      </c>
      <c r="O30" s="125">
        <v>0</v>
      </c>
      <c r="P30" s="125">
        <v>0</v>
      </c>
      <c r="Q30" s="125">
        <v>5</v>
      </c>
      <c r="R30" s="125">
        <v>0</v>
      </c>
      <c r="S30" s="125">
        <v>1</v>
      </c>
      <c r="T30" s="125">
        <v>0</v>
      </c>
      <c r="U30" s="125">
        <v>1</v>
      </c>
      <c r="V30" s="125">
        <v>0</v>
      </c>
      <c r="W30" s="125">
        <v>0</v>
      </c>
      <c r="X30" s="125">
        <v>1</v>
      </c>
      <c r="Y30" s="125">
        <v>0</v>
      </c>
      <c r="Z30" s="125">
        <v>1</v>
      </c>
      <c r="AA30" s="125">
        <v>0</v>
      </c>
      <c r="AB30" s="125">
        <v>0</v>
      </c>
      <c r="AC30" s="125">
        <v>0</v>
      </c>
      <c r="AD30" s="125">
        <v>0</v>
      </c>
      <c r="AE30" s="125">
        <v>0</v>
      </c>
      <c r="AF30" s="125">
        <v>0</v>
      </c>
      <c r="AG30" s="63">
        <f t="shared" si="25"/>
        <v>26</v>
      </c>
      <c r="AH30" s="63"/>
      <c r="AI30" s="63">
        <f t="shared" si="26"/>
        <v>26</v>
      </c>
      <c r="AN30" s="82"/>
      <c r="BF30" s="112"/>
      <c r="BG30" s="112"/>
      <c r="BH30" s="113"/>
      <c r="BI30" s="114"/>
    </row>
    <row r="31" spans="1:61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5"/>
        <v>0</v>
      </c>
      <c r="AH31" s="70"/>
      <c r="AI31" s="63">
        <f t="shared" si="26"/>
        <v>0</v>
      </c>
      <c r="AO31" s="82"/>
      <c r="BF31" s="112"/>
      <c r="BG31" s="112"/>
      <c r="BH31" s="113"/>
      <c r="BI31" s="114"/>
    </row>
    <row r="32" spans="1:61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5"/>
        <v>0</v>
      </c>
      <c r="AH32" s="71"/>
      <c r="AI32" s="63">
        <f t="shared" si="26"/>
        <v>0</v>
      </c>
      <c r="AN32" s="82"/>
      <c r="BF32" s="112"/>
      <c r="BG32" s="112"/>
      <c r="BH32" s="113"/>
      <c r="BI32" s="112"/>
    </row>
    <row r="33" spans="1:61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5"/>
        <v>0</v>
      </c>
      <c r="AH33" s="63"/>
      <c r="AI33" s="63">
        <f t="shared" si="26"/>
        <v>0</v>
      </c>
      <c r="AM33" s="82"/>
      <c r="BF33" s="112"/>
      <c r="BG33" s="112"/>
      <c r="BH33" s="113"/>
      <c r="BI33" s="114"/>
    </row>
    <row r="34" spans="1:61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F34" s="112"/>
      <c r="BG34" s="112"/>
      <c r="BH34" s="113"/>
      <c r="BI34" s="114"/>
    </row>
    <row r="35" spans="1:61" ht="21">
      <c r="A35" s="53"/>
      <c r="B35" s="54">
        <v>46143</v>
      </c>
      <c r="C35" s="54">
        <v>46144</v>
      </c>
      <c r="D35" s="54">
        <v>46145</v>
      </c>
      <c r="E35" s="54">
        <v>46146</v>
      </c>
      <c r="F35" s="54">
        <v>46147</v>
      </c>
      <c r="G35" s="54">
        <v>46148</v>
      </c>
      <c r="H35" s="54">
        <v>46149</v>
      </c>
      <c r="I35" s="54">
        <v>46150</v>
      </c>
      <c r="J35" s="54">
        <v>46151</v>
      </c>
      <c r="K35" s="54">
        <v>46152</v>
      </c>
      <c r="L35" s="54">
        <v>46153</v>
      </c>
      <c r="M35" s="54">
        <v>46154</v>
      </c>
      <c r="N35" s="54">
        <v>46155</v>
      </c>
      <c r="O35" s="54">
        <v>46156</v>
      </c>
      <c r="P35" s="54">
        <v>46157</v>
      </c>
      <c r="Q35" s="54">
        <v>46158</v>
      </c>
      <c r="R35" s="54">
        <v>46159</v>
      </c>
      <c r="S35" s="54">
        <v>46160</v>
      </c>
      <c r="T35" s="54">
        <v>46161</v>
      </c>
      <c r="U35" s="54">
        <v>46162</v>
      </c>
      <c r="V35" s="54">
        <v>46163</v>
      </c>
      <c r="W35" s="54">
        <v>46164</v>
      </c>
      <c r="X35" s="54">
        <v>46165</v>
      </c>
      <c r="Y35" s="54">
        <v>46166</v>
      </c>
      <c r="Z35" s="54">
        <v>46167</v>
      </c>
      <c r="AA35" s="54">
        <v>46168</v>
      </c>
      <c r="AB35" s="54">
        <v>46169</v>
      </c>
      <c r="AC35" s="54">
        <v>46170</v>
      </c>
      <c r="AD35" s="54">
        <v>46171</v>
      </c>
      <c r="AE35" s="54">
        <v>46172</v>
      </c>
      <c r="AF35" s="54">
        <v>46173</v>
      </c>
      <c r="AG35" s="61" t="s">
        <v>2</v>
      </c>
      <c r="AH35" s="61" t="s">
        <v>49</v>
      </c>
      <c r="AI35" s="62" t="s">
        <v>50</v>
      </c>
      <c r="AK35" t="s">
        <v>384</v>
      </c>
      <c r="AM35" s="82"/>
      <c r="BF35" s="112"/>
      <c r="BG35" s="112"/>
      <c r="BH35" s="113"/>
      <c r="BI35" s="116"/>
    </row>
    <row r="36" spans="1:61" ht="21">
      <c r="A36" s="55" t="s">
        <v>5</v>
      </c>
      <c r="B36" s="56">
        <v>28</v>
      </c>
      <c r="C36" s="56">
        <v>29</v>
      </c>
      <c r="D36" s="56">
        <v>20</v>
      </c>
      <c r="E36" s="56">
        <v>17</v>
      </c>
      <c r="F36" s="56">
        <v>25</v>
      </c>
      <c r="G36" s="56">
        <v>23</v>
      </c>
      <c r="H36" s="56">
        <v>39</v>
      </c>
      <c r="I36" s="56">
        <v>34</v>
      </c>
      <c r="J36" s="56">
        <v>46</v>
      </c>
      <c r="K36" s="56">
        <v>12</v>
      </c>
      <c r="L36" s="56">
        <v>14</v>
      </c>
      <c r="M36" s="56">
        <v>12</v>
      </c>
      <c r="N36" s="56">
        <v>10</v>
      </c>
      <c r="O36" s="56">
        <v>12</v>
      </c>
      <c r="P36" s="56">
        <v>22</v>
      </c>
      <c r="Q36" s="56">
        <v>25</v>
      </c>
      <c r="R36" s="56">
        <v>10</v>
      </c>
      <c r="S36" s="56">
        <v>11</v>
      </c>
      <c r="T36" s="56">
        <v>27</v>
      </c>
      <c r="U36" s="56">
        <v>20</v>
      </c>
      <c r="V36" s="56">
        <v>16</v>
      </c>
      <c r="W36" s="56">
        <v>25</v>
      </c>
      <c r="X36" s="56">
        <v>25</v>
      </c>
      <c r="Y36" s="56">
        <v>13</v>
      </c>
      <c r="Z36" s="56">
        <v>15</v>
      </c>
      <c r="AA36" s="56">
        <v>10</v>
      </c>
      <c r="AB36" s="56">
        <v>13</v>
      </c>
      <c r="AC36" s="56">
        <v>18</v>
      </c>
      <c r="AD36" s="56">
        <v>25</v>
      </c>
      <c r="AE36" s="56">
        <v>33</v>
      </c>
      <c r="AF36" s="56">
        <v>29</v>
      </c>
      <c r="AG36" s="63">
        <f>SUM(B36:AF36)</f>
        <v>658</v>
      </c>
      <c r="AH36" s="63"/>
      <c r="AI36" s="63">
        <f>AG36</f>
        <v>658</v>
      </c>
      <c r="AK36" t="s">
        <v>385</v>
      </c>
      <c r="AN36" s="82"/>
      <c r="BF36" s="112"/>
      <c r="BG36" s="112"/>
      <c r="BH36" s="113"/>
      <c r="BI36" s="116"/>
    </row>
    <row r="37" spans="1:61" ht="21">
      <c r="A37" s="55" t="s">
        <v>21</v>
      </c>
      <c r="B37" s="56">
        <v>24</v>
      </c>
      <c r="C37" s="56">
        <v>23</v>
      </c>
      <c r="D37" s="56">
        <v>12</v>
      </c>
      <c r="E37" s="56">
        <v>12</v>
      </c>
      <c r="F37" s="56">
        <v>19</v>
      </c>
      <c r="G37" s="56">
        <v>17</v>
      </c>
      <c r="H37" s="56">
        <v>30</v>
      </c>
      <c r="I37" s="56">
        <v>21</v>
      </c>
      <c r="J37" s="56">
        <v>28</v>
      </c>
      <c r="K37" s="56">
        <v>9</v>
      </c>
      <c r="L37" s="56">
        <v>11</v>
      </c>
      <c r="M37" s="56">
        <v>9</v>
      </c>
      <c r="N37" s="56">
        <v>4</v>
      </c>
      <c r="O37" s="56">
        <v>8</v>
      </c>
      <c r="P37" s="56">
        <v>13</v>
      </c>
      <c r="Q37" s="56">
        <v>21</v>
      </c>
      <c r="R37" s="56">
        <v>7</v>
      </c>
      <c r="S37" s="56">
        <v>10</v>
      </c>
      <c r="T37" s="56">
        <v>16</v>
      </c>
      <c r="U37" s="56">
        <v>11</v>
      </c>
      <c r="V37" s="56">
        <v>15</v>
      </c>
      <c r="W37" s="56">
        <v>18</v>
      </c>
      <c r="X37" s="56">
        <v>20</v>
      </c>
      <c r="Y37" s="56">
        <v>8</v>
      </c>
      <c r="Z37" s="56">
        <v>9</v>
      </c>
      <c r="AA37" s="56">
        <v>8</v>
      </c>
      <c r="AB37" s="56">
        <v>9</v>
      </c>
      <c r="AC37" s="56">
        <v>12</v>
      </c>
      <c r="AD37" s="56">
        <v>16</v>
      </c>
      <c r="AE37" s="56">
        <v>20</v>
      </c>
      <c r="AF37" s="56">
        <v>24</v>
      </c>
      <c r="AG37" s="63">
        <f t="shared" ref="AG37:AG44" si="27">SUM(B37:AF37)</f>
        <v>464</v>
      </c>
      <c r="AH37" s="63"/>
      <c r="AI37" s="63">
        <f>AG37+AH39+AH40+AH41</f>
        <v>464</v>
      </c>
      <c r="AK37" t="s">
        <v>386</v>
      </c>
      <c r="AM37" s="82"/>
      <c r="AO37" s="82"/>
      <c r="BF37" s="112"/>
      <c r="BG37" s="112"/>
      <c r="BH37" s="113"/>
      <c r="BI37" s="116"/>
    </row>
    <row r="38" spans="1:61" ht="21">
      <c r="A38" s="55" t="s">
        <v>22</v>
      </c>
      <c r="B38" s="125">
        <v>21</v>
      </c>
      <c r="C38" s="125">
        <v>19</v>
      </c>
      <c r="D38" s="125">
        <v>11</v>
      </c>
      <c r="E38" s="125">
        <v>11</v>
      </c>
      <c r="F38" s="125">
        <v>19</v>
      </c>
      <c r="G38" s="125">
        <v>15</v>
      </c>
      <c r="H38" s="125">
        <v>27</v>
      </c>
      <c r="I38" s="125">
        <v>21</v>
      </c>
      <c r="J38" s="125">
        <v>26</v>
      </c>
      <c r="K38" s="125">
        <v>7</v>
      </c>
      <c r="L38" s="125">
        <v>10</v>
      </c>
      <c r="M38" s="125">
        <v>6</v>
      </c>
      <c r="N38" s="125">
        <v>4</v>
      </c>
      <c r="O38" s="125">
        <v>7</v>
      </c>
      <c r="P38" s="125">
        <v>13</v>
      </c>
      <c r="Q38" s="125">
        <v>19</v>
      </c>
      <c r="R38" s="125">
        <v>7</v>
      </c>
      <c r="S38" s="125">
        <v>10</v>
      </c>
      <c r="T38" s="125">
        <v>14</v>
      </c>
      <c r="U38" s="125">
        <v>11</v>
      </c>
      <c r="V38" s="125">
        <v>13</v>
      </c>
      <c r="W38" s="125">
        <v>17</v>
      </c>
      <c r="X38" s="125">
        <v>19</v>
      </c>
      <c r="Y38" s="125">
        <v>7</v>
      </c>
      <c r="Z38" s="125">
        <v>9</v>
      </c>
      <c r="AA38" s="125">
        <v>8</v>
      </c>
      <c r="AB38" s="125">
        <v>9</v>
      </c>
      <c r="AC38" s="125">
        <v>12</v>
      </c>
      <c r="AD38" s="125">
        <v>15</v>
      </c>
      <c r="AE38" s="125">
        <v>19</v>
      </c>
      <c r="AF38" s="125">
        <v>22</v>
      </c>
      <c r="AG38" s="63">
        <f t="shared" si="27"/>
        <v>428</v>
      </c>
      <c r="AH38" s="63"/>
      <c r="AI38" s="63">
        <f>AG38+AH39+AH40+AH41</f>
        <v>428</v>
      </c>
      <c r="AK38" t="s">
        <v>387</v>
      </c>
      <c r="AM38" s="82"/>
      <c r="BF38" s="112"/>
      <c r="BG38" s="112"/>
      <c r="BH38" s="116"/>
      <c r="BI38" s="114"/>
    </row>
    <row r="39" spans="1:61" ht="21">
      <c r="A39" s="55" t="s">
        <v>23</v>
      </c>
      <c r="B39" s="125">
        <v>0</v>
      </c>
      <c r="C39" s="125">
        <v>2</v>
      </c>
      <c r="D39" s="125">
        <v>0</v>
      </c>
      <c r="E39" s="125">
        <v>1</v>
      </c>
      <c r="F39" s="125">
        <v>0</v>
      </c>
      <c r="G39" s="125">
        <v>0</v>
      </c>
      <c r="H39" s="125">
        <v>0</v>
      </c>
      <c r="I39" s="125">
        <v>0</v>
      </c>
      <c r="J39" s="125">
        <v>0</v>
      </c>
      <c r="K39" s="125">
        <v>0</v>
      </c>
      <c r="L39" s="125">
        <v>0</v>
      </c>
      <c r="M39" s="125">
        <v>0</v>
      </c>
      <c r="N39" s="125">
        <v>0</v>
      </c>
      <c r="O39" s="125">
        <v>0</v>
      </c>
      <c r="P39" s="125">
        <v>0</v>
      </c>
      <c r="Q39" s="125">
        <v>0</v>
      </c>
      <c r="R39" s="125">
        <v>0</v>
      </c>
      <c r="S39" s="125">
        <v>0</v>
      </c>
      <c r="T39" s="125">
        <v>1</v>
      </c>
      <c r="U39" s="125">
        <v>0</v>
      </c>
      <c r="V39" s="125">
        <v>2</v>
      </c>
      <c r="W39" s="125">
        <v>0</v>
      </c>
      <c r="X39" s="125">
        <v>0</v>
      </c>
      <c r="Y39" s="125">
        <v>0</v>
      </c>
      <c r="Z39" s="125">
        <v>0</v>
      </c>
      <c r="AA39" s="125">
        <v>0</v>
      </c>
      <c r="AB39" s="125">
        <v>0</v>
      </c>
      <c r="AC39" s="125">
        <v>0</v>
      </c>
      <c r="AD39" s="125">
        <v>0</v>
      </c>
      <c r="AE39" s="125">
        <v>1</v>
      </c>
      <c r="AF39" s="125">
        <v>0</v>
      </c>
      <c r="AG39" s="63">
        <f t="shared" si="27"/>
        <v>7</v>
      </c>
      <c r="AH39" s="63"/>
      <c r="AI39" s="63">
        <f t="shared" ref="AI39:AI44" si="28">AG39-AH39</f>
        <v>7</v>
      </c>
      <c r="AK39" t="s">
        <v>388</v>
      </c>
      <c r="AM39" s="82"/>
    </row>
    <row r="40" spans="1:61" ht="21">
      <c r="A40" s="55" t="s">
        <v>24</v>
      </c>
      <c r="B40" s="125">
        <v>2</v>
      </c>
      <c r="C40" s="125">
        <v>1</v>
      </c>
      <c r="D40" s="125">
        <v>0</v>
      </c>
      <c r="E40" s="125">
        <v>0</v>
      </c>
      <c r="F40" s="125">
        <v>0</v>
      </c>
      <c r="G40" s="125">
        <v>2</v>
      </c>
      <c r="H40" s="125">
        <v>2</v>
      </c>
      <c r="I40" s="125">
        <v>0</v>
      </c>
      <c r="J40" s="125">
        <v>2</v>
      </c>
      <c r="K40" s="125">
        <v>1</v>
      </c>
      <c r="L40" s="125">
        <v>1</v>
      </c>
      <c r="M40" s="125">
        <v>3</v>
      </c>
      <c r="N40" s="125">
        <v>0</v>
      </c>
      <c r="O40" s="125">
        <v>0</v>
      </c>
      <c r="P40" s="125">
        <v>0</v>
      </c>
      <c r="Q40" s="125">
        <v>2</v>
      </c>
      <c r="R40" s="125">
        <v>0</v>
      </c>
      <c r="S40" s="125">
        <v>0</v>
      </c>
      <c r="T40" s="125">
        <v>1</v>
      </c>
      <c r="U40" s="125">
        <v>0</v>
      </c>
      <c r="V40" s="125">
        <v>0</v>
      </c>
      <c r="W40" s="125">
        <v>0</v>
      </c>
      <c r="X40" s="125">
        <v>1</v>
      </c>
      <c r="Y40" s="125">
        <v>0</v>
      </c>
      <c r="Z40" s="125">
        <v>0</v>
      </c>
      <c r="AA40" s="125">
        <v>0</v>
      </c>
      <c r="AB40" s="125">
        <v>0</v>
      </c>
      <c r="AC40" s="125">
        <v>0</v>
      </c>
      <c r="AD40" s="125">
        <v>0</v>
      </c>
      <c r="AE40" s="125">
        <v>0</v>
      </c>
      <c r="AF40" s="125">
        <v>2</v>
      </c>
      <c r="AG40" s="63">
        <f t="shared" si="27"/>
        <v>20</v>
      </c>
      <c r="AH40" s="63"/>
      <c r="AI40" s="63">
        <f t="shared" si="28"/>
        <v>20</v>
      </c>
      <c r="AK40" t="s">
        <v>389</v>
      </c>
      <c r="AL40" s="3" t="s">
        <v>391</v>
      </c>
      <c r="AN40" s="82"/>
    </row>
    <row r="41" spans="1:61" ht="21">
      <c r="A41" s="55" t="s">
        <v>26</v>
      </c>
      <c r="B41" s="125">
        <v>1</v>
      </c>
      <c r="C41" s="125">
        <v>1</v>
      </c>
      <c r="D41" s="125">
        <v>1</v>
      </c>
      <c r="E41" s="125">
        <v>0</v>
      </c>
      <c r="F41" s="125">
        <v>0</v>
      </c>
      <c r="G41" s="125">
        <v>0</v>
      </c>
      <c r="H41" s="125">
        <v>1</v>
      </c>
      <c r="I41" s="125">
        <v>0</v>
      </c>
      <c r="J41" s="125">
        <v>0</v>
      </c>
      <c r="K41" s="125">
        <v>1</v>
      </c>
      <c r="L41" s="125">
        <v>0</v>
      </c>
      <c r="M41" s="125">
        <v>0</v>
      </c>
      <c r="N41" s="125">
        <v>0</v>
      </c>
      <c r="O41" s="125">
        <v>1</v>
      </c>
      <c r="P41" s="125">
        <v>0</v>
      </c>
      <c r="Q41" s="125">
        <v>0</v>
      </c>
      <c r="R41" s="125">
        <v>0</v>
      </c>
      <c r="S41" s="125">
        <v>0</v>
      </c>
      <c r="T41" s="125">
        <v>0</v>
      </c>
      <c r="U41" s="125">
        <v>0</v>
      </c>
      <c r="V41" s="125">
        <v>0</v>
      </c>
      <c r="W41" s="125">
        <v>1</v>
      </c>
      <c r="X41" s="125">
        <v>0</v>
      </c>
      <c r="Y41" s="125">
        <v>1</v>
      </c>
      <c r="Z41" s="125">
        <v>0</v>
      </c>
      <c r="AA41" s="125">
        <v>0</v>
      </c>
      <c r="AB41" s="125">
        <v>0</v>
      </c>
      <c r="AC41" s="125">
        <v>0</v>
      </c>
      <c r="AD41" s="125">
        <v>1</v>
      </c>
      <c r="AE41" s="125">
        <v>0</v>
      </c>
      <c r="AF41" s="125">
        <v>0</v>
      </c>
      <c r="AG41" s="63">
        <f t="shared" si="27"/>
        <v>9</v>
      </c>
      <c r="AH41" s="63"/>
      <c r="AI41" s="63">
        <f t="shared" si="28"/>
        <v>9</v>
      </c>
      <c r="AK41" t="s">
        <v>390</v>
      </c>
    </row>
    <row r="42" spans="1:61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7"/>
        <v>0</v>
      </c>
      <c r="AH42" s="70"/>
      <c r="AI42" s="63">
        <f t="shared" si="28"/>
        <v>0</v>
      </c>
      <c r="AK42" t="s">
        <v>392</v>
      </c>
    </row>
    <row r="43" spans="1:61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7"/>
        <v>0</v>
      </c>
      <c r="AH43" s="71"/>
      <c r="AI43" s="63">
        <f t="shared" si="28"/>
        <v>0</v>
      </c>
    </row>
    <row r="44" spans="1:61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7"/>
        <v>0</v>
      </c>
      <c r="AH44" s="63"/>
      <c r="AI44" s="63">
        <f t="shared" si="28"/>
        <v>0</v>
      </c>
    </row>
    <row r="45" spans="1:61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  <c r="AK45" t="s">
        <v>393</v>
      </c>
    </row>
    <row r="46" spans="1:61" ht="21">
      <c r="A46" s="53"/>
      <c r="B46" s="54">
        <v>46143</v>
      </c>
      <c r="C46" s="54">
        <v>46144</v>
      </c>
      <c r="D46" s="54">
        <v>46145</v>
      </c>
      <c r="E46" s="54">
        <v>46146</v>
      </c>
      <c r="F46" s="54">
        <v>46147</v>
      </c>
      <c r="G46" s="54">
        <v>46148</v>
      </c>
      <c r="H46" s="54">
        <v>46149</v>
      </c>
      <c r="I46" s="54">
        <v>46150</v>
      </c>
      <c r="J46" s="54">
        <v>46151</v>
      </c>
      <c r="K46" s="54">
        <v>46152</v>
      </c>
      <c r="L46" s="54">
        <v>46153</v>
      </c>
      <c r="M46" s="54">
        <v>46154</v>
      </c>
      <c r="N46" s="54">
        <v>46155</v>
      </c>
      <c r="O46" s="54">
        <v>46156</v>
      </c>
      <c r="P46" s="54">
        <v>46157</v>
      </c>
      <c r="Q46" s="54">
        <v>46158</v>
      </c>
      <c r="R46" s="54">
        <v>46159</v>
      </c>
      <c r="S46" s="54">
        <v>46160</v>
      </c>
      <c r="T46" s="54">
        <v>46161</v>
      </c>
      <c r="U46" s="54">
        <v>46162</v>
      </c>
      <c r="V46" s="54">
        <v>46163</v>
      </c>
      <c r="W46" s="54">
        <v>46164</v>
      </c>
      <c r="X46" s="54">
        <v>46165</v>
      </c>
      <c r="Y46" s="54">
        <v>46166</v>
      </c>
      <c r="Z46" s="54">
        <v>46167</v>
      </c>
      <c r="AA46" s="54">
        <v>46168</v>
      </c>
      <c r="AB46" s="54">
        <v>46169</v>
      </c>
      <c r="AC46" s="54">
        <v>46170</v>
      </c>
      <c r="AD46" s="54">
        <v>46171</v>
      </c>
      <c r="AE46" s="54">
        <v>46172</v>
      </c>
      <c r="AF46" s="54">
        <v>46173</v>
      </c>
      <c r="AG46" s="61" t="s">
        <v>2</v>
      </c>
      <c r="AH46" s="61" t="s">
        <v>3</v>
      </c>
      <c r="AI46" s="62" t="s">
        <v>52</v>
      </c>
      <c r="AK46" t="s">
        <v>394</v>
      </c>
    </row>
    <row r="47" spans="1:61" ht="21">
      <c r="A47" s="55" t="s">
        <v>5</v>
      </c>
      <c r="B47" s="56">
        <v>31</v>
      </c>
      <c r="C47" s="56">
        <v>38</v>
      </c>
      <c r="D47" s="56">
        <v>30</v>
      </c>
      <c r="E47" s="56">
        <v>18</v>
      </c>
      <c r="F47" s="56">
        <v>17</v>
      </c>
      <c r="G47" s="56">
        <v>30</v>
      </c>
      <c r="H47" s="56">
        <v>28</v>
      </c>
      <c r="I47" s="56">
        <v>26</v>
      </c>
      <c r="J47" s="56">
        <v>25</v>
      </c>
      <c r="K47" s="56">
        <v>6</v>
      </c>
      <c r="L47" s="56">
        <v>15</v>
      </c>
      <c r="M47" s="56">
        <v>20</v>
      </c>
      <c r="N47" s="56">
        <v>16</v>
      </c>
      <c r="O47" s="56">
        <v>22</v>
      </c>
      <c r="P47" s="56">
        <v>24</v>
      </c>
      <c r="Q47" s="56">
        <v>32</v>
      </c>
      <c r="R47" s="56">
        <v>13</v>
      </c>
      <c r="S47" s="56">
        <v>17</v>
      </c>
      <c r="T47" s="56">
        <v>24</v>
      </c>
      <c r="U47" s="56">
        <v>19</v>
      </c>
      <c r="V47" s="56">
        <v>23</v>
      </c>
      <c r="W47" s="56">
        <v>18</v>
      </c>
      <c r="X47" s="56">
        <v>33</v>
      </c>
      <c r="Y47" s="56">
        <v>11</v>
      </c>
      <c r="Z47" s="56">
        <v>16</v>
      </c>
      <c r="AA47" s="56">
        <v>13</v>
      </c>
      <c r="AB47" s="56">
        <v>19</v>
      </c>
      <c r="AC47" s="56">
        <v>16</v>
      </c>
      <c r="AD47" s="56">
        <v>23</v>
      </c>
      <c r="AE47" s="56">
        <v>39</v>
      </c>
      <c r="AF47" s="56">
        <v>22</v>
      </c>
      <c r="AG47" s="63">
        <f>SUM(B47:AF47)</f>
        <v>684</v>
      </c>
      <c r="AH47" s="63"/>
      <c r="AI47" s="63">
        <f>AG47</f>
        <v>684</v>
      </c>
      <c r="AK47" t="s">
        <v>395</v>
      </c>
    </row>
    <row r="48" spans="1:61" ht="21">
      <c r="A48" s="55" t="s">
        <v>21</v>
      </c>
      <c r="B48" s="56">
        <v>18</v>
      </c>
      <c r="C48" s="56">
        <v>24</v>
      </c>
      <c r="D48" s="56">
        <v>21</v>
      </c>
      <c r="E48" s="56">
        <v>8</v>
      </c>
      <c r="F48" s="56">
        <v>10</v>
      </c>
      <c r="G48" s="56">
        <v>19</v>
      </c>
      <c r="H48" s="56">
        <v>21</v>
      </c>
      <c r="I48" s="56">
        <v>19</v>
      </c>
      <c r="J48" s="56">
        <v>15</v>
      </c>
      <c r="K48" s="56">
        <v>1</v>
      </c>
      <c r="L48" s="56">
        <v>7</v>
      </c>
      <c r="M48" s="56">
        <v>13</v>
      </c>
      <c r="N48" s="56">
        <v>11</v>
      </c>
      <c r="O48" s="56">
        <v>11</v>
      </c>
      <c r="P48" s="56">
        <v>13</v>
      </c>
      <c r="Q48" s="56">
        <v>21</v>
      </c>
      <c r="R48" s="56">
        <v>8</v>
      </c>
      <c r="S48" s="56">
        <v>10</v>
      </c>
      <c r="T48" s="56">
        <v>12</v>
      </c>
      <c r="U48" s="56">
        <v>12</v>
      </c>
      <c r="V48" s="56">
        <v>14</v>
      </c>
      <c r="W48" s="56">
        <v>9</v>
      </c>
      <c r="X48" s="56">
        <v>18</v>
      </c>
      <c r="Y48" s="56">
        <v>8</v>
      </c>
      <c r="Z48" s="56">
        <v>9</v>
      </c>
      <c r="AA48" s="56">
        <v>9</v>
      </c>
      <c r="AB48" s="56">
        <v>15</v>
      </c>
      <c r="AC48" s="56">
        <v>11</v>
      </c>
      <c r="AD48" s="56">
        <v>14</v>
      </c>
      <c r="AE48" s="56">
        <v>19</v>
      </c>
      <c r="AF48" s="56">
        <v>13</v>
      </c>
      <c r="AG48" s="63">
        <f t="shared" ref="AG48:AG55" si="29">SUM(B48:AF48)</f>
        <v>413</v>
      </c>
      <c r="AH48" s="63"/>
      <c r="AI48" s="63">
        <f>AG48+AH50+AH51+AH52</f>
        <v>413</v>
      </c>
    </row>
    <row r="49" spans="1:35" ht="21">
      <c r="A49" s="55" t="s">
        <v>22</v>
      </c>
      <c r="B49" s="125">
        <v>18</v>
      </c>
      <c r="C49" s="125">
        <v>23</v>
      </c>
      <c r="D49" s="125">
        <v>19</v>
      </c>
      <c r="E49" s="125">
        <v>7</v>
      </c>
      <c r="F49" s="125">
        <v>9</v>
      </c>
      <c r="G49" s="125">
        <v>19</v>
      </c>
      <c r="H49" s="125">
        <v>19</v>
      </c>
      <c r="I49" s="125">
        <v>18</v>
      </c>
      <c r="J49" s="125">
        <v>15</v>
      </c>
      <c r="K49" s="125">
        <v>1</v>
      </c>
      <c r="L49" s="125">
        <v>7</v>
      </c>
      <c r="M49" s="125">
        <v>11</v>
      </c>
      <c r="N49" s="125">
        <v>9</v>
      </c>
      <c r="O49" s="125">
        <v>10</v>
      </c>
      <c r="P49" s="125">
        <v>13</v>
      </c>
      <c r="Q49" s="125">
        <v>19</v>
      </c>
      <c r="R49" s="125">
        <v>8</v>
      </c>
      <c r="S49" s="125">
        <v>9</v>
      </c>
      <c r="T49" s="125">
        <v>10</v>
      </c>
      <c r="U49" s="125">
        <v>11</v>
      </c>
      <c r="V49" s="125">
        <v>13</v>
      </c>
      <c r="W49" s="125">
        <v>7</v>
      </c>
      <c r="X49" s="125">
        <v>17</v>
      </c>
      <c r="Y49" s="125">
        <v>6</v>
      </c>
      <c r="Z49" s="125">
        <v>7</v>
      </c>
      <c r="AA49" s="125">
        <v>8</v>
      </c>
      <c r="AB49" s="125">
        <v>14</v>
      </c>
      <c r="AC49" s="125">
        <v>9</v>
      </c>
      <c r="AD49" s="125">
        <v>13</v>
      </c>
      <c r="AE49" s="125">
        <v>18</v>
      </c>
      <c r="AF49" s="125">
        <v>13</v>
      </c>
      <c r="AG49" s="63">
        <f t="shared" si="29"/>
        <v>380</v>
      </c>
      <c r="AH49" s="63"/>
      <c r="AI49" s="63">
        <f>AG49+AH50+AH51+AH52</f>
        <v>380</v>
      </c>
    </row>
    <row r="50" spans="1:35" ht="21">
      <c r="A50" s="55" t="s">
        <v>23</v>
      </c>
      <c r="B50" s="125">
        <v>0</v>
      </c>
      <c r="C50" s="125">
        <v>0</v>
      </c>
      <c r="D50" s="125">
        <v>0</v>
      </c>
      <c r="E50" s="125">
        <v>1</v>
      </c>
      <c r="F50" s="125">
        <v>0</v>
      </c>
      <c r="G50" s="125">
        <v>0</v>
      </c>
      <c r="H50" s="125">
        <v>0</v>
      </c>
      <c r="I50" s="125">
        <v>0</v>
      </c>
      <c r="J50" s="125">
        <v>0</v>
      </c>
      <c r="K50" s="125">
        <v>0</v>
      </c>
      <c r="L50" s="125">
        <v>0</v>
      </c>
      <c r="M50" s="125">
        <v>1</v>
      </c>
      <c r="N50" s="125">
        <v>0</v>
      </c>
      <c r="O50" s="125">
        <v>0</v>
      </c>
      <c r="P50" s="125">
        <v>0</v>
      </c>
      <c r="Q50" s="125">
        <v>0</v>
      </c>
      <c r="R50" s="125">
        <v>0</v>
      </c>
      <c r="S50" s="125">
        <v>0</v>
      </c>
      <c r="T50" s="125">
        <v>0</v>
      </c>
      <c r="U50" s="125">
        <v>1</v>
      </c>
      <c r="V50" s="125">
        <v>0</v>
      </c>
      <c r="W50" s="125">
        <v>0</v>
      </c>
      <c r="X50" s="125">
        <v>0</v>
      </c>
      <c r="Y50" s="125">
        <v>0</v>
      </c>
      <c r="Z50" s="125">
        <v>0</v>
      </c>
      <c r="AA50" s="125">
        <v>0</v>
      </c>
      <c r="AB50" s="125">
        <v>0</v>
      </c>
      <c r="AC50" s="125">
        <v>0</v>
      </c>
      <c r="AD50" s="125">
        <v>0</v>
      </c>
      <c r="AE50" s="125">
        <v>0</v>
      </c>
      <c r="AF50" s="125">
        <v>0</v>
      </c>
      <c r="AG50" s="63">
        <f t="shared" si="29"/>
        <v>3</v>
      </c>
      <c r="AH50" s="63"/>
      <c r="AI50" s="63">
        <f t="shared" ref="AI50:AI55" si="30">AG50-AH50</f>
        <v>3</v>
      </c>
    </row>
    <row r="51" spans="1:35" ht="21">
      <c r="A51" s="55" t="s">
        <v>24</v>
      </c>
      <c r="B51" s="125">
        <v>0</v>
      </c>
      <c r="C51" s="125">
        <v>0</v>
      </c>
      <c r="D51" s="125">
        <v>0</v>
      </c>
      <c r="E51" s="125">
        <v>0</v>
      </c>
      <c r="F51" s="125">
        <v>0</v>
      </c>
      <c r="G51" s="125">
        <v>0</v>
      </c>
      <c r="H51" s="125">
        <v>0</v>
      </c>
      <c r="I51" s="125">
        <v>0</v>
      </c>
      <c r="J51" s="125">
        <v>0</v>
      </c>
      <c r="K51" s="125">
        <v>0</v>
      </c>
      <c r="L51" s="125">
        <v>0</v>
      </c>
      <c r="M51" s="125">
        <v>0</v>
      </c>
      <c r="N51" s="125">
        <v>0</v>
      </c>
      <c r="O51" s="125">
        <v>0</v>
      </c>
      <c r="P51" s="125">
        <v>0</v>
      </c>
      <c r="Q51" s="125">
        <v>0</v>
      </c>
      <c r="R51" s="125">
        <v>0</v>
      </c>
      <c r="S51" s="125">
        <v>0</v>
      </c>
      <c r="T51" s="125">
        <v>0</v>
      </c>
      <c r="U51" s="125">
        <v>0</v>
      </c>
      <c r="V51" s="125">
        <v>0</v>
      </c>
      <c r="W51" s="125">
        <v>0</v>
      </c>
      <c r="X51" s="125">
        <v>0</v>
      </c>
      <c r="Y51" s="125">
        <v>0</v>
      </c>
      <c r="Z51" s="125">
        <v>0</v>
      </c>
      <c r="AA51" s="125">
        <v>1</v>
      </c>
      <c r="AB51" s="125">
        <v>0</v>
      </c>
      <c r="AC51" s="125">
        <v>0</v>
      </c>
      <c r="AD51" s="125">
        <v>0</v>
      </c>
      <c r="AE51" s="125">
        <v>1</v>
      </c>
      <c r="AF51" s="125">
        <v>0</v>
      </c>
      <c r="AG51" s="63">
        <f t="shared" si="29"/>
        <v>2</v>
      </c>
      <c r="AH51" s="63"/>
      <c r="AI51" s="63">
        <f t="shared" si="30"/>
        <v>2</v>
      </c>
    </row>
    <row r="52" spans="1:35" ht="21">
      <c r="A52" s="55" t="s">
        <v>26</v>
      </c>
      <c r="B52" s="125">
        <v>0</v>
      </c>
      <c r="C52" s="125">
        <v>1</v>
      </c>
      <c r="D52" s="125">
        <v>2</v>
      </c>
      <c r="E52" s="125">
        <v>0</v>
      </c>
      <c r="F52" s="125">
        <v>1</v>
      </c>
      <c r="G52" s="125">
        <v>0</v>
      </c>
      <c r="H52" s="125">
        <v>2</v>
      </c>
      <c r="I52" s="125">
        <v>1</v>
      </c>
      <c r="J52" s="125">
        <v>0</v>
      </c>
      <c r="K52" s="125">
        <v>0</v>
      </c>
      <c r="L52" s="125">
        <v>0</v>
      </c>
      <c r="M52" s="125">
        <v>1</v>
      </c>
      <c r="N52" s="125">
        <v>2</v>
      </c>
      <c r="O52" s="125">
        <v>1</v>
      </c>
      <c r="P52" s="125">
        <v>0</v>
      </c>
      <c r="Q52" s="125">
        <v>2</v>
      </c>
      <c r="R52" s="125">
        <v>0</v>
      </c>
      <c r="S52" s="125">
        <v>1</v>
      </c>
      <c r="T52" s="125">
        <v>2</v>
      </c>
      <c r="U52" s="125">
        <v>0</v>
      </c>
      <c r="V52" s="125">
        <v>1</v>
      </c>
      <c r="W52" s="125">
        <v>2</v>
      </c>
      <c r="X52" s="125">
        <v>1</v>
      </c>
      <c r="Y52" s="125">
        <v>2</v>
      </c>
      <c r="Z52" s="125">
        <v>2</v>
      </c>
      <c r="AA52" s="125">
        <v>0</v>
      </c>
      <c r="AB52" s="125">
        <v>1</v>
      </c>
      <c r="AC52" s="125">
        <v>2</v>
      </c>
      <c r="AD52" s="125">
        <v>1</v>
      </c>
      <c r="AE52" s="125">
        <v>0</v>
      </c>
      <c r="AF52" s="125">
        <v>0</v>
      </c>
      <c r="AG52" s="63">
        <f t="shared" si="29"/>
        <v>28</v>
      </c>
      <c r="AH52" s="63"/>
      <c r="AI52" s="63">
        <f t="shared" si="30"/>
        <v>28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9"/>
        <v>0</v>
      </c>
      <c r="AH53" s="70"/>
      <c r="AI53" s="63">
        <f t="shared" si="30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9"/>
        <v>0</v>
      </c>
      <c r="AH54" s="71"/>
      <c r="AI54" s="63">
        <f t="shared" si="30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9"/>
        <v>0</v>
      </c>
      <c r="AH55" s="63"/>
      <c r="AI55" s="63">
        <f t="shared" si="30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46143</v>
      </c>
      <c r="C57" s="54">
        <v>46144</v>
      </c>
      <c r="D57" s="54">
        <v>46145</v>
      </c>
      <c r="E57" s="54">
        <v>46146</v>
      </c>
      <c r="F57" s="54">
        <v>46147</v>
      </c>
      <c r="G57" s="54">
        <v>46148</v>
      </c>
      <c r="H57" s="54">
        <v>46149</v>
      </c>
      <c r="I57" s="54">
        <v>46150</v>
      </c>
      <c r="J57" s="54">
        <v>46151</v>
      </c>
      <c r="K57" s="54">
        <v>46152</v>
      </c>
      <c r="L57" s="54">
        <v>46153</v>
      </c>
      <c r="M57" s="54">
        <v>46154</v>
      </c>
      <c r="N57" s="54">
        <v>46155</v>
      </c>
      <c r="O57" s="54">
        <v>46156</v>
      </c>
      <c r="P57" s="54">
        <v>46157</v>
      </c>
      <c r="Q57" s="54">
        <v>46158</v>
      </c>
      <c r="R57" s="54">
        <v>46159</v>
      </c>
      <c r="S57" s="54">
        <v>46160</v>
      </c>
      <c r="T57" s="54">
        <v>46161</v>
      </c>
      <c r="U57" s="54">
        <v>46162</v>
      </c>
      <c r="V57" s="54">
        <v>46163</v>
      </c>
      <c r="W57" s="54">
        <v>46164</v>
      </c>
      <c r="X57" s="54">
        <v>46165</v>
      </c>
      <c r="Y57" s="54">
        <v>46166</v>
      </c>
      <c r="Z57" s="54">
        <v>46167</v>
      </c>
      <c r="AA57" s="54">
        <v>46168</v>
      </c>
      <c r="AB57" s="54">
        <v>46169</v>
      </c>
      <c r="AC57" s="54">
        <v>46170</v>
      </c>
      <c r="AD57" s="54">
        <v>46171</v>
      </c>
      <c r="AE57" s="54">
        <v>46172</v>
      </c>
      <c r="AF57" s="54">
        <v>46173</v>
      </c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42</v>
      </c>
      <c r="C58" s="56">
        <v>57</v>
      </c>
      <c r="D58" s="56">
        <v>25</v>
      </c>
      <c r="E58" s="56">
        <v>28</v>
      </c>
      <c r="F58" s="56">
        <v>24</v>
      </c>
      <c r="G58" s="56">
        <v>28</v>
      </c>
      <c r="H58" s="56">
        <v>17</v>
      </c>
      <c r="I58" s="56">
        <v>32</v>
      </c>
      <c r="J58" s="56">
        <v>64</v>
      </c>
      <c r="K58" s="56">
        <v>20</v>
      </c>
      <c r="L58" s="56">
        <v>30</v>
      </c>
      <c r="M58" s="56">
        <v>24</v>
      </c>
      <c r="N58" s="56">
        <v>15</v>
      </c>
      <c r="O58" s="56">
        <v>22</v>
      </c>
      <c r="P58" s="56">
        <v>31</v>
      </c>
      <c r="Q58" s="56">
        <v>72</v>
      </c>
      <c r="R58" s="56">
        <v>28</v>
      </c>
      <c r="S58" s="56">
        <v>36</v>
      </c>
      <c r="T58" s="56">
        <v>28</v>
      </c>
      <c r="U58" s="56">
        <v>21</v>
      </c>
      <c r="V58" s="56">
        <v>29</v>
      </c>
      <c r="W58" s="56">
        <v>32</v>
      </c>
      <c r="X58" s="56">
        <v>62</v>
      </c>
      <c r="Y58" s="56">
        <v>27</v>
      </c>
      <c r="Z58" s="56">
        <v>28</v>
      </c>
      <c r="AA58" s="56">
        <v>27</v>
      </c>
      <c r="AB58" s="56">
        <v>33</v>
      </c>
      <c r="AC58" s="56">
        <v>24</v>
      </c>
      <c r="AD58" s="56">
        <v>32</v>
      </c>
      <c r="AE58" s="56">
        <v>97</v>
      </c>
      <c r="AF58" s="56">
        <v>10</v>
      </c>
      <c r="AG58" s="63">
        <f>SUM(B58:AF58)</f>
        <v>1045</v>
      </c>
      <c r="AH58" s="63"/>
      <c r="AI58" s="63">
        <f>AG58</f>
        <v>1045</v>
      </c>
    </row>
    <row r="59" spans="1:35" ht="21">
      <c r="A59" s="55" t="s">
        <v>21</v>
      </c>
      <c r="B59" s="56">
        <v>24</v>
      </c>
      <c r="C59" s="56">
        <v>33</v>
      </c>
      <c r="D59" s="56">
        <v>14</v>
      </c>
      <c r="E59" s="56">
        <v>13</v>
      </c>
      <c r="F59" s="56">
        <v>13</v>
      </c>
      <c r="G59" s="56">
        <v>16</v>
      </c>
      <c r="H59" s="56">
        <v>9</v>
      </c>
      <c r="I59" s="56">
        <v>21</v>
      </c>
      <c r="J59" s="56">
        <v>37</v>
      </c>
      <c r="K59" s="56">
        <v>13</v>
      </c>
      <c r="L59" s="56">
        <v>15</v>
      </c>
      <c r="M59" s="56">
        <v>12</v>
      </c>
      <c r="N59" s="56">
        <v>9</v>
      </c>
      <c r="O59" s="56">
        <v>13</v>
      </c>
      <c r="P59" s="56">
        <v>13</v>
      </c>
      <c r="Q59" s="56">
        <v>35</v>
      </c>
      <c r="R59" s="56">
        <v>19</v>
      </c>
      <c r="S59" s="56">
        <v>15</v>
      </c>
      <c r="T59" s="56">
        <v>12</v>
      </c>
      <c r="U59" s="56">
        <v>6</v>
      </c>
      <c r="V59" s="56">
        <v>18</v>
      </c>
      <c r="W59" s="56">
        <v>21</v>
      </c>
      <c r="X59" s="56">
        <v>32</v>
      </c>
      <c r="Y59" s="56">
        <v>15</v>
      </c>
      <c r="Z59" s="56">
        <v>16</v>
      </c>
      <c r="AA59" s="56">
        <v>16</v>
      </c>
      <c r="AB59" s="56">
        <v>16</v>
      </c>
      <c r="AC59" s="56">
        <v>10</v>
      </c>
      <c r="AD59" s="56">
        <v>17</v>
      </c>
      <c r="AE59" s="56">
        <v>60</v>
      </c>
      <c r="AF59" s="56">
        <v>6</v>
      </c>
      <c r="AG59" s="63">
        <f t="shared" ref="AG59:AG66" si="31">SUM(B59:AF59)</f>
        <v>569</v>
      </c>
      <c r="AH59" s="63"/>
      <c r="AI59" s="63">
        <f>AG59+AH61+AH62+AH63</f>
        <v>569</v>
      </c>
    </row>
    <row r="60" spans="1:35" ht="21">
      <c r="A60" s="55" t="s">
        <v>22</v>
      </c>
      <c r="B60" s="125">
        <v>22</v>
      </c>
      <c r="C60" s="125">
        <v>31</v>
      </c>
      <c r="D60" s="125">
        <v>12</v>
      </c>
      <c r="E60" s="125">
        <v>13</v>
      </c>
      <c r="F60" s="125">
        <v>13</v>
      </c>
      <c r="G60" s="125">
        <v>13</v>
      </c>
      <c r="H60" s="125">
        <v>9</v>
      </c>
      <c r="I60" s="125">
        <v>20</v>
      </c>
      <c r="J60" s="125">
        <v>33</v>
      </c>
      <c r="K60" s="125">
        <v>12</v>
      </c>
      <c r="L60" s="125">
        <v>13</v>
      </c>
      <c r="M60" s="125">
        <v>12</v>
      </c>
      <c r="N60" s="125">
        <v>8</v>
      </c>
      <c r="O60" s="125">
        <v>12</v>
      </c>
      <c r="P60" s="125">
        <v>13</v>
      </c>
      <c r="Q60" s="125">
        <v>31</v>
      </c>
      <c r="R60" s="125">
        <v>18</v>
      </c>
      <c r="S60" s="125">
        <v>13</v>
      </c>
      <c r="T60" s="125">
        <v>11</v>
      </c>
      <c r="U60" s="125">
        <v>3</v>
      </c>
      <c r="V60" s="125">
        <v>17</v>
      </c>
      <c r="W60" s="125">
        <v>17</v>
      </c>
      <c r="X60" s="125">
        <v>26</v>
      </c>
      <c r="Y60" s="125">
        <v>14</v>
      </c>
      <c r="Z60" s="125">
        <v>13</v>
      </c>
      <c r="AA60" s="125">
        <v>15</v>
      </c>
      <c r="AB60" s="125">
        <v>13</v>
      </c>
      <c r="AC60" s="125">
        <v>8</v>
      </c>
      <c r="AD60" s="125">
        <v>15</v>
      </c>
      <c r="AE60" s="125">
        <v>56</v>
      </c>
      <c r="AF60" s="125">
        <v>6</v>
      </c>
      <c r="AG60" s="63">
        <f t="shared" si="31"/>
        <v>512</v>
      </c>
      <c r="AH60" s="63"/>
      <c r="AI60" s="63">
        <f>AG60+AH61+AH62+AH63</f>
        <v>512</v>
      </c>
    </row>
    <row r="61" spans="1:35" ht="21">
      <c r="A61" s="55" t="s">
        <v>23</v>
      </c>
      <c r="B61" s="125">
        <v>0</v>
      </c>
      <c r="C61" s="125">
        <v>0</v>
      </c>
      <c r="D61" s="125">
        <v>1</v>
      </c>
      <c r="E61" s="125">
        <v>0</v>
      </c>
      <c r="F61" s="125">
        <v>0</v>
      </c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1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1</v>
      </c>
      <c r="V61" s="125">
        <v>0</v>
      </c>
      <c r="W61" s="125">
        <v>0</v>
      </c>
      <c r="X61" s="125">
        <v>0</v>
      </c>
      <c r="Y61" s="125">
        <v>0</v>
      </c>
      <c r="Z61" s="125">
        <v>0</v>
      </c>
      <c r="AA61" s="125">
        <v>0</v>
      </c>
      <c r="AB61" s="125">
        <v>0</v>
      </c>
      <c r="AC61" s="125">
        <v>1</v>
      </c>
      <c r="AD61" s="125">
        <v>1</v>
      </c>
      <c r="AE61" s="125">
        <v>1</v>
      </c>
      <c r="AF61" s="125">
        <v>0</v>
      </c>
      <c r="AG61" s="63">
        <f t="shared" si="31"/>
        <v>6</v>
      </c>
      <c r="AH61" s="63"/>
      <c r="AI61" s="63">
        <f t="shared" ref="AI61:AI66" si="32">AG61-AH61</f>
        <v>6</v>
      </c>
    </row>
    <row r="62" spans="1:35" ht="21">
      <c r="A62" s="55" t="s">
        <v>24</v>
      </c>
      <c r="B62" s="125">
        <v>0</v>
      </c>
      <c r="C62" s="125">
        <v>0</v>
      </c>
      <c r="D62" s="125">
        <v>0</v>
      </c>
      <c r="E62" s="125">
        <v>0</v>
      </c>
      <c r="F62" s="125">
        <v>0</v>
      </c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1</v>
      </c>
      <c r="S62" s="125">
        <v>0</v>
      </c>
      <c r="T62" s="125">
        <v>0</v>
      </c>
      <c r="U62" s="125">
        <v>0</v>
      </c>
      <c r="V62" s="125">
        <v>0</v>
      </c>
      <c r="W62" s="125">
        <v>0</v>
      </c>
      <c r="X62" s="125">
        <v>0</v>
      </c>
      <c r="Y62" s="125">
        <v>0</v>
      </c>
      <c r="Z62" s="125">
        <v>1</v>
      </c>
      <c r="AA62" s="125">
        <v>0</v>
      </c>
      <c r="AB62" s="125">
        <v>0</v>
      </c>
      <c r="AC62" s="125">
        <v>0</v>
      </c>
      <c r="AD62" s="125">
        <v>0</v>
      </c>
      <c r="AE62" s="125">
        <v>0</v>
      </c>
      <c r="AF62" s="125">
        <v>0</v>
      </c>
      <c r="AG62" s="63">
        <f t="shared" si="31"/>
        <v>2</v>
      </c>
      <c r="AH62" s="63"/>
      <c r="AI62" s="63">
        <f t="shared" si="32"/>
        <v>2</v>
      </c>
    </row>
    <row r="63" spans="1:35" ht="21">
      <c r="A63" s="55" t="s">
        <v>26</v>
      </c>
      <c r="B63" s="125">
        <v>2</v>
      </c>
      <c r="C63" s="125">
        <v>2</v>
      </c>
      <c r="D63" s="125">
        <v>1</v>
      </c>
      <c r="E63" s="125">
        <v>0</v>
      </c>
      <c r="F63" s="125">
        <v>0</v>
      </c>
      <c r="G63" s="125">
        <v>3</v>
      </c>
      <c r="H63" s="125">
        <v>0</v>
      </c>
      <c r="I63" s="125">
        <v>1</v>
      </c>
      <c r="J63" s="125">
        <v>4</v>
      </c>
      <c r="K63" s="125">
        <v>1</v>
      </c>
      <c r="L63" s="125">
        <v>1</v>
      </c>
      <c r="M63" s="125">
        <v>0</v>
      </c>
      <c r="N63" s="125">
        <v>1</v>
      </c>
      <c r="O63" s="125">
        <v>1</v>
      </c>
      <c r="P63" s="125">
        <v>0</v>
      </c>
      <c r="Q63" s="125">
        <v>4</v>
      </c>
      <c r="R63" s="125">
        <v>0</v>
      </c>
      <c r="S63" s="125">
        <v>2</v>
      </c>
      <c r="T63" s="125">
        <v>1</v>
      </c>
      <c r="U63" s="125">
        <v>2</v>
      </c>
      <c r="V63" s="125">
        <v>1</v>
      </c>
      <c r="W63" s="125">
        <v>4</v>
      </c>
      <c r="X63" s="125">
        <v>6</v>
      </c>
      <c r="Y63" s="125">
        <v>1</v>
      </c>
      <c r="Z63" s="125">
        <v>2</v>
      </c>
      <c r="AA63" s="125">
        <v>1</v>
      </c>
      <c r="AB63" s="125">
        <v>3</v>
      </c>
      <c r="AC63" s="125">
        <v>1</v>
      </c>
      <c r="AD63" s="125">
        <v>1</v>
      </c>
      <c r="AE63" s="125">
        <v>3</v>
      </c>
      <c r="AF63" s="125">
        <v>0</v>
      </c>
      <c r="AG63" s="63">
        <f t="shared" si="31"/>
        <v>49</v>
      </c>
      <c r="AH63" s="63"/>
      <c r="AI63" s="63">
        <f t="shared" si="32"/>
        <v>49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1"/>
        <v>0</v>
      </c>
      <c r="AH64" s="70"/>
      <c r="AI64" s="63">
        <f t="shared" si="32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1"/>
        <v>0</v>
      </c>
      <c r="AH65" s="71"/>
      <c r="AI65" s="63">
        <f t="shared" si="32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1"/>
        <v>0</v>
      </c>
      <c r="AH66" s="63"/>
      <c r="AI66" s="63">
        <f t="shared" si="32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46143</v>
      </c>
      <c r="C68" s="54">
        <v>46144</v>
      </c>
      <c r="D68" s="54">
        <v>46145</v>
      </c>
      <c r="E68" s="54">
        <v>46146</v>
      </c>
      <c r="F68" s="54">
        <v>46147</v>
      </c>
      <c r="G68" s="54">
        <v>46148</v>
      </c>
      <c r="H68" s="54">
        <v>46149</v>
      </c>
      <c r="I68" s="54">
        <v>46150</v>
      </c>
      <c r="J68" s="54">
        <v>46151</v>
      </c>
      <c r="K68" s="54">
        <v>46152</v>
      </c>
      <c r="L68" s="54">
        <v>46153</v>
      </c>
      <c r="M68" s="54">
        <v>46154</v>
      </c>
      <c r="N68" s="54">
        <v>46155</v>
      </c>
      <c r="O68" s="54">
        <v>46156</v>
      </c>
      <c r="P68" s="54">
        <v>46157</v>
      </c>
      <c r="Q68" s="54">
        <v>46158</v>
      </c>
      <c r="R68" s="54">
        <v>46159</v>
      </c>
      <c r="S68" s="54">
        <v>46160</v>
      </c>
      <c r="T68" s="54">
        <v>46161</v>
      </c>
      <c r="U68" s="54">
        <v>46162</v>
      </c>
      <c r="V68" s="54">
        <v>46163</v>
      </c>
      <c r="W68" s="54">
        <v>46164</v>
      </c>
      <c r="X68" s="54">
        <v>46165</v>
      </c>
      <c r="Y68" s="54">
        <v>46166</v>
      </c>
      <c r="Z68" s="54">
        <v>46167</v>
      </c>
      <c r="AA68" s="54">
        <v>46168</v>
      </c>
      <c r="AB68" s="54">
        <v>46169</v>
      </c>
      <c r="AC68" s="54">
        <v>46170</v>
      </c>
      <c r="AD68" s="54">
        <v>46171</v>
      </c>
      <c r="AE68" s="54">
        <v>46172</v>
      </c>
      <c r="AF68" s="54">
        <v>46173</v>
      </c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>
        <v>64</v>
      </c>
      <c r="C69" s="56">
        <v>72</v>
      </c>
      <c r="D69" s="56">
        <v>44</v>
      </c>
      <c r="E69" s="56">
        <v>32</v>
      </c>
      <c r="F69" s="56">
        <v>25</v>
      </c>
      <c r="G69" s="56">
        <v>34</v>
      </c>
      <c r="H69" s="56">
        <v>24</v>
      </c>
      <c r="I69" s="56">
        <v>45</v>
      </c>
      <c r="J69" s="56">
        <v>90</v>
      </c>
      <c r="K69" s="56">
        <v>57</v>
      </c>
      <c r="L69" s="56">
        <v>30</v>
      </c>
      <c r="M69" s="56">
        <v>13</v>
      </c>
      <c r="N69" s="56">
        <v>18</v>
      </c>
      <c r="O69" s="56">
        <v>18</v>
      </c>
      <c r="P69" s="56">
        <v>40</v>
      </c>
      <c r="Q69" s="56">
        <v>70</v>
      </c>
      <c r="R69" s="56">
        <v>41</v>
      </c>
      <c r="S69" s="56">
        <v>21</v>
      </c>
      <c r="T69" s="56">
        <v>25</v>
      </c>
      <c r="U69" s="56">
        <v>18</v>
      </c>
      <c r="V69" s="56">
        <v>25</v>
      </c>
      <c r="W69" s="56">
        <v>24</v>
      </c>
      <c r="X69" s="56">
        <v>50</v>
      </c>
      <c r="Y69" s="56">
        <v>23</v>
      </c>
      <c r="Z69" s="56">
        <v>18</v>
      </c>
      <c r="AA69" s="56">
        <v>24</v>
      </c>
      <c r="AB69" s="56">
        <v>14</v>
      </c>
      <c r="AC69" s="56">
        <v>14</v>
      </c>
      <c r="AD69" s="56">
        <v>28</v>
      </c>
      <c r="AE69" s="56">
        <v>77</v>
      </c>
      <c r="AF69" s="56">
        <v>21</v>
      </c>
      <c r="AG69" s="63">
        <f>SUM(B69:AF69)</f>
        <v>1099</v>
      </c>
      <c r="AH69" s="63"/>
      <c r="AI69" s="63">
        <f>AG69</f>
        <v>1099</v>
      </c>
    </row>
    <row r="70" spans="1:35" ht="21">
      <c r="A70" s="55" t="s">
        <v>21</v>
      </c>
      <c r="B70" s="56">
        <v>41</v>
      </c>
      <c r="C70" s="56">
        <v>37</v>
      </c>
      <c r="D70" s="56">
        <v>28</v>
      </c>
      <c r="E70" s="56">
        <v>21</v>
      </c>
      <c r="F70" s="56">
        <v>13</v>
      </c>
      <c r="G70" s="56">
        <v>19</v>
      </c>
      <c r="H70" s="56">
        <v>13</v>
      </c>
      <c r="I70" s="56">
        <v>34</v>
      </c>
      <c r="J70" s="56">
        <v>46</v>
      </c>
      <c r="K70" s="56">
        <v>21</v>
      </c>
      <c r="L70" s="56">
        <v>15</v>
      </c>
      <c r="M70" s="56">
        <v>5</v>
      </c>
      <c r="N70" s="56">
        <v>12</v>
      </c>
      <c r="O70" s="56">
        <v>12</v>
      </c>
      <c r="P70" s="56">
        <v>17</v>
      </c>
      <c r="Q70" s="56">
        <v>31</v>
      </c>
      <c r="R70" s="56">
        <v>18</v>
      </c>
      <c r="S70" s="56">
        <v>9</v>
      </c>
      <c r="T70" s="56">
        <v>11</v>
      </c>
      <c r="U70" s="56">
        <v>9</v>
      </c>
      <c r="V70" s="56">
        <v>14</v>
      </c>
      <c r="W70" s="56">
        <v>13</v>
      </c>
      <c r="X70" s="56">
        <v>38</v>
      </c>
      <c r="Y70" s="56">
        <v>8</v>
      </c>
      <c r="Z70" s="56">
        <v>9</v>
      </c>
      <c r="AA70" s="56">
        <v>10</v>
      </c>
      <c r="AB70" s="56">
        <v>7</v>
      </c>
      <c r="AC70" s="56">
        <v>4</v>
      </c>
      <c r="AD70" s="56">
        <v>16</v>
      </c>
      <c r="AE70" s="56">
        <v>48</v>
      </c>
      <c r="AF70" s="56">
        <v>11</v>
      </c>
      <c r="AG70" s="63">
        <f t="shared" ref="AG70:AG77" si="33">SUM(B70:AF70)</f>
        <v>590</v>
      </c>
      <c r="AH70" s="63"/>
      <c r="AI70" s="63">
        <f>AG70+AH72+AH73+AH74</f>
        <v>590</v>
      </c>
    </row>
    <row r="71" spans="1:35" ht="21">
      <c r="A71" s="55" t="s">
        <v>22</v>
      </c>
      <c r="B71" s="125">
        <v>34</v>
      </c>
      <c r="C71" s="125">
        <v>36</v>
      </c>
      <c r="D71" s="125">
        <v>25</v>
      </c>
      <c r="E71" s="125">
        <v>17</v>
      </c>
      <c r="F71" s="125">
        <v>12</v>
      </c>
      <c r="G71" s="125">
        <v>17</v>
      </c>
      <c r="H71" s="125">
        <v>11</v>
      </c>
      <c r="I71" s="125">
        <v>33</v>
      </c>
      <c r="J71" s="125">
        <v>45</v>
      </c>
      <c r="K71" s="125">
        <v>19</v>
      </c>
      <c r="L71" s="125">
        <v>14</v>
      </c>
      <c r="M71" s="125">
        <v>5</v>
      </c>
      <c r="N71" s="125">
        <v>10</v>
      </c>
      <c r="O71" s="125">
        <v>10</v>
      </c>
      <c r="P71" s="125">
        <v>15</v>
      </c>
      <c r="Q71" s="125">
        <v>28</v>
      </c>
      <c r="R71" s="125">
        <v>15</v>
      </c>
      <c r="S71" s="125">
        <v>8</v>
      </c>
      <c r="T71" s="125">
        <v>11</v>
      </c>
      <c r="U71" s="125">
        <v>8</v>
      </c>
      <c r="V71" s="125">
        <v>13</v>
      </c>
      <c r="W71" s="125">
        <v>13</v>
      </c>
      <c r="X71" s="125">
        <v>31</v>
      </c>
      <c r="Y71" s="125">
        <v>7</v>
      </c>
      <c r="Z71" s="125">
        <v>9</v>
      </c>
      <c r="AA71" s="125">
        <v>9</v>
      </c>
      <c r="AB71" s="125">
        <v>6</v>
      </c>
      <c r="AC71" s="125">
        <v>4</v>
      </c>
      <c r="AD71" s="125">
        <v>13</v>
      </c>
      <c r="AE71" s="125">
        <v>41</v>
      </c>
      <c r="AF71" s="125">
        <v>11</v>
      </c>
      <c r="AG71" s="63">
        <f t="shared" si="33"/>
        <v>530</v>
      </c>
      <c r="AH71" s="63"/>
      <c r="AI71" s="63">
        <f>AG71+AH72+AH73+AH74</f>
        <v>530</v>
      </c>
    </row>
    <row r="72" spans="1:35" ht="21">
      <c r="A72" s="55" t="s">
        <v>23</v>
      </c>
      <c r="B72" s="125">
        <v>0</v>
      </c>
      <c r="C72" s="125">
        <v>0</v>
      </c>
      <c r="D72" s="125">
        <v>1</v>
      </c>
      <c r="E72" s="125">
        <v>2</v>
      </c>
      <c r="F72" s="125">
        <v>1</v>
      </c>
      <c r="G72" s="125">
        <v>0</v>
      </c>
      <c r="H72" s="125">
        <v>0</v>
      </c>
      <c r="I72" s="125">
        <v>0</v>
      </c>
      <c r="J72" s="125">
        <v>0</v>
      </c>
      <c r="K72" s="125">
        <v>1</v>
      </c>
      <c r="L72" s="125">
        <v>0</v>
      </c>
      <c r="M72" s="125">
        <v>0</v>
      </c>
      <c r="N72" s="125">
        <v>0</v>
      </c>
      <c r="O72" s="125">
        <v>2</v>
      </c>
      <c r="P72" s="125">
        <v>0</v>
      </c>
      <c r="Q72" s="125">
        <v>0</v>
      </c>
      <c r="R72" s="125">
        <v>1</v>
      </c>
      <c r="S72" s="125">
        <v>0</v>
      </c>
      <c r="T72" s="125">
        <v>0</v>
      </c>
      <c r="U72" s="125">
        <v>0</v>
      </c>
      <c r="V72" s="125">
        <v>0</v>
      </c>
      <c r="W72" s="125">
        <v>0</v>
      </c>
      <c r="X72" s="125">
        <v>0</v>
      </c>
      <c r="Y72" s="125">
        <v>0</v>
      </c>
      <c r="Z72" s="125">
        <v>0</v>
      </c>
      <c r="AA72" s="125">
        <v>0</v>
      </c>
      <c r="AB72" s="125">
        <v>0</v>
      </c>
      <c r="AC72" s="125">
        <v>0</v>
      </c>
      <c r="AD72" s="125">
        <v>0</v>
      </c>
      <c r="AE72" s="125">
        <v>1</v>
      </c>
      <c r="AF72" s="125">
        <v>0</v>
      </c>
      <c r="AG72" s="63">
        <f t="shared" si="33"/>
        <v>9</v>
      </c>
      <c r="AH72" s="63"/>
      <c r="AI72" s="63">
        <f t="shared" ref="AI72:AI77" si="34">AG72-AH72</f>
        <v>9</v>
      </c>
    </row>
    <row r="73" spans="1:35" ht="21">
      <c r="A73" s="55" t="s">
        <v>24</v>
      </c>
      <c r="B73" s="125">
        <v>0</v>
      </c>
      <c r="C73" s="125">
        <v>0</v>
      </c>
      <c r="D73" s="125">
        <v>0</v>
      </c>
      <c r="E73" s="125">
        <v>0</v>
      </c>
      <c r="F73" s="125">
        <v>0</v>
      </c>
      <c r="G73" s="125">
        <v>0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1</v>
      </c>
      <c r="Q73" s="125">
        <v>0</v>
      </c>
      <c r="R73" s="125">
        <v>0</v>
      </c>
      <c r="S73" s="125">
        <v>0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  <c r="AA73" s="125">
        <v>0</v>
      </c>
      <c r="AB73" s="125">
        <v>0</v>
      </c>
      <c r="AC73" s="125">
        <v>0</v>
      </c>
      <c r="AD73" s="125">
        <v>0</v>
      </c>
      <c r="AE73" s="125">
        <v>0</v>
      </c>
      <c r="AF73" s="125">
        <v>0</v>
      </c>
      <c r="AG73" s="63">
        <f t="shared" si="33"/>
        <v>1</v>
      </c>
      <c r="AH73" s="63"/>
      <c r="AI73" s="63">
        <f t="shared" si="34"/>
        <v>1</v>
      </c>
    </row>
    <row r="74" spans="1:35" ht="21">
      <c r="A74" s="55" t="s">
        <v>26</v>
      </c>
      <c r="B74" s="125">
        <v>7</v>
      </c>
      <c r="C74" s="125">
        <v>1</v>
      </c>
      <c r="D74" s="125">
        <v>2</v>
      </c>
      <c r="E74" s="125">
        <v>2</v>
      </c>
      <c r="F74" s="125">
        <v>0</v>
      </c>
      <c r="G74" s="125">
        <v>2</v>
      </c>
      <c r="H74" s="125">
        <v>2</v>
      </c>
      <c r="I74" s="125">
        <v>1</v>
      </c>
      <c r="J74" s="125">
        <v>1</v>
      </c>
      <c r="K74" s="125">
        <v>1</v>
      </c>
      <c r="L74" s="125">
        <v>1</v>
      </c>
      <c r="M74" s="125">
        <v>0</v>
      </c>
      <c r="N74" s="125">
        <v>2</v>
      </c>
      <c r="O74" s="125">
        <v>0</v>
      </c>
      <c r="P74" s="125">
        <v>1</v>
      </c>
      <c r="Q74" s="125">
        <v>3</v>
      </c>
      <c r="R74" s="125">
        <v>2</v>
      </c>
      <c r="S74" s="125">
        <v>1</v>
      </c>
      <c r="T74" s="125">
        <v>0</v>
      </c>
      <c r="U74" s="125">
        <v>1</v>
      </c>
      <c r="V74" s="125">
        <v>1</v>
      </c>
      <c r="W74" s="125">
        <v>0</v>
      </c>
      <c r="X74" s="125">
        <v>7</v>
      </c>
      <c r="Y74" s="125">
        <v>1</v>
      </c>
      <c r="Z74" s="125">
        <v>0</v>
      </c>
      <c r="AA74" s="125">
        <v>1</v>
      </c>
      <c r="AB74" s="125">
        <v>1</v>
      </c>
      <c r="AC74" s="125">
        <v>0</v>
      </c>
      <c r="AD74" s="125">
        <v>3</v>
      </c>
      <c r="AE74" s="125">
        <v>6</v>
      </c>
      <c r="AF74" s="125">
        <v>0</v>
      </c>
      <c r="AG74" s="63">
        <f t="shared" si="33"/>
        <v>50</v>
      </c>
      <c r="AH74" s="63"/>
      <c r="AI74" s="63">
        <f t="shared" si="34"/>
        <v>50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3"/>
        <v>0</v>
      </c>
      <c r="AH75" s="70"/>
      <c r="AI75" s="63">
        <f t="shared" si="34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3"/>
        <v>0</v>
      </c>
      <c r="AH76" s="71"/>
      <c r="AI76" s="63">
        <f t="shared" si="34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3"/>
        <v>0</v>
      </c>
      <c r="AH77" s="63"/>
      <c r="AI77" s="63">
        <f t="shared" si="34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46143</v>
      </c>
      <c r="C79" s="54">
        <v>46144</v>
      </c>
      <c r="D79" s="54">
        <v>46145</v>
      </c>
      <c r="E79" s="54">
        <v>46146</v>
      </c>
      <c r="F79" s="54">
        <v>46147</v>
      </c>
      <c r="G79" s="54">
        <v>46148</v>
      </c>
      <c r="H79" s="54">
        <v>46149</v>
      </c>
      <c r="I79" s="54">
        <v>46150</v>
      </c>
      <c r="J79" s="54">
        <v>46151</v>
      </c>
      <c r="K79" s="54">
        <v>46152</v>
      </c>
      <c r="L79" s="54">
        <v>46153</v>
      </c>
      <c r="M79" s="54">
        <v>46154</v>
      </c>
      <c r="N79" s="54">
        <v>46155</v>
      </c>
      <c r="O79" s="54">
        <v>46156</v>
      </c>
      <c r="P79" s="54">
        <v>46157</v>
      </c>
      <c r="Q79" s="54">
        <v>46158</v>
      </c>
      <c r="R79" s="54">
        <v>46159</v>
      </c>
      <c r="S79" s="54">
        <v>46160</v>
      </c>
      <c r="T79" s="54">
        <v>46161</v>
      </c>
      <c r="U79" s="54">
        <v>46162</v>
      </c>
      <c r="V79" s="54">
        <v>46163</v>
      </c>
      <c r="W79" s="54">
        <v>46164</v>
      </c>
      <c r="X79" s="54">
        <v>46165</v>
      </c>
      <c r="Y79" s="54">
        <v>46166</v>
      </c>
      <c r="Z79" s="54">
        <v>46167</v>
      </c>
      <c r="AA79" s="54">
        <v>46168</v>
      </c>
      <c r="AB79" s="54">
        <v>46169</v>
      </c>
      <c r="AC79" s="54">
        <v>46170</v>
      </c>
      <c r="AD79" s="54">
        <v>46171</v>
      </c>
      <c r="AE79" s="54">
        <v>46172</v>
      </c>
      <c r="AF79" s="54">
        <v>46173</v>
      </c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>
        <v>74</v>
      </c>
      <c r="C80" s="56">
        <v>104</v>
      </c>
      <c r="D80" s="56">
        <v>43</v>
      </c>
      <c r="E80" s="56">
        <v>25</v>
      </c>
      <c r="F80" s="56">
        <v>26</v>
      </c>
      <c r="G80" s="56">
        <v>25</v>
      </c>
      <c r="H80" s="56">
        <v>43</v>
      </c>
      <c r="I80" s="56">
        <v>48</v>
      </c>
      <c r="J80" s="56">
        <v>103</v>
      </c>
      <c r="K80" s="56">
        <v>36</v>
      </c>
      <c r="L80" s="56">
        <v>30</v>
      </c>
      <c r="M80" s="56">
        <v>21</v>
      </c>
      <c r="N80" s="56">
        <v>27</v>
      </c>
      <c r="O80" s="56">
        <v>32</v>
      </c>
      <c r="P80" s="56">
        <v>49</v>
      </c>
      <c r="Q80" s="56">
        <v>71</v>
      </c>
      <c r="R80" s="56">
        <v>35</v>
      </c>
      <c r="S80" s="56">
        <v>29</v>
      </c>
      <c r="T80" s="56">
        <v>24</v>
      </c>
      <c r="U80" s="56">
        <v>29</v>
      </c>
      <c r="V80" s="56">
        <v>20</v>
      </c>
      <c r="W80" s="56">
        <v>39</v>
      </c>
      <c r="X80" s="56">
        <v>68</v>
      </c>
      <c r="Y80" s="56">
        <v>38</v>
      </c>
      <c r="Z80" s="56">
        <v>31</v>
      </c>
      <c r="AA80" s="56">
        <v>27</v>
      </c>
      <c r="AB80" s="56">
        <v>24</v>
      </c>
      <c r="AC80" s="56">
        <v>23</v>
      </c>
      <c r="AD80" s="56">
        <v>36</v>
      </c>
      <c r="AE80" s="56">
        <v>102</v>
      </c>
      <c r="AF80" s="56">
        <v>22</v>
      </c>
      <c r="AG80" s="63">
        <f>SUM(B80:AF80)</f>
        <v>1304</v>
      </c>
      <c r="AH80" s="63"/>
      <c r="AI80" s="63">
        <f>AG80</f>
        <v>1304</v>
      </c>
    </row>
    <row r="81" spans="1:68" ht="21">
      <c r="A81" s="55" t="s">
        <v>21</v>
      </c>
      <c r="B81" s="56">
        <v>46</v>
      </c>
      <c r="C81" s="56">
        <v>57</v>
      </c>
      <c r="D81" s="56">
        <v>17</v>
      </c>
      <c r="E81" s="56">
        <v>10</v>
      </c>
      <c r="F81" s="56">
        <v>12</v>
      </c>
      <c r="G81" s="56">
        <v>10</v>
      </c>
      <c r="H81" s="56">
        <v>20</v>
      </c>
      <c r="I81" s="56">
        <v>21</v>
      </c>
      <c r="J81" s="56">
        <v>58</v>
      </c>
      <c r="K81" s="56">
        <v>21</v>
      </c>
      <c r="L81" s="56">
        <v>19</v>
      </c>
      <c r="M81" s="56">
        <v>12</v>
      </c>
      <c r="N81" s="56">
        <v>14</v>
      </c>
      <c r="O81" s="56">
        <v>25</v>
      </c>
      <c r="P81" s="56">
        <v>19</v>
      </c>
      <c r="Q81" s="56">
        <v>30</v>
      </c>
      <c r="R81" s="56">
        <v>18</v>
      </c>
      <c r="S81" s="56">
        <v>21</v>
      </c>
      <c r="T81" s="56">
        <v>10</v>
      </c>
      <c r="U81" s="56">
        <v>7</v>
      </c>
      <c r="V81" s="56">
        <v>10</v>
      </c>
      <c r="W81" s="56">
        <v>20</v>
      </c>
      <c r="X81" s="56">
        <v>31</v>
      </c>
      <c r="Y81" s="56">
        <v>20</v>
      </c>
      <c r="Z81" s="56">
        <v>19</v>
      </c>
      <c r="AA81" s="56">
        <v>19</v>
      </c>
      <c r="AB81" s="56">
        <v>11</v>
      </c>
      <c r="AC81" s="56">
        <v>12</v>
      </c>
      <c r="AD81" s="56">
        <v>13</v>
      </c>
      <c r="AE81" s="56">
        <v>57</v>
      </c>
      <c r="AF81" s="56">
        <v>11</v>
      </c>
      <c r="AG81" s="63">
        <f t="shared" ref="AG81:AG88" si="35">SUM(B81:AF81)</f>
        <v>670</v>
      </c>
      <c r="AH81" s="63"/>
      <c r="AI81" s="63">
        <f>AG81+AH83+AH84+AH85</f>
        <v>670</v>
      </c>
    </row>
    <row r="82" spans="1:68" ht="21">
      <c r="A82" s="55" t="s">
        <v>22</v>
      </c>
      <c r="B82" s="125">
        <v>41</v>
      </c>
      <c r="C82" s="125">
        <v>47</v>
      </c>
      <c r="D82" s="125">
        <v>15</v>
      </c>
      <c r="E82" s="125">
        <v>8</v>
      </c>
      <c r="F82" s="125">
        <v>9</v>
      </c>
      <c r="G82" s="125">
        <v>10</v>
      </c>
      <c r="H82" s="125">
        <v>17</v>
      </c>
      <c r="I82" s="125">
        <v>18</v>
      </c>
      <c r="J82" s="125">
        <v>48</v>
      </c>
      <c r="K82" s="125">
        <v>18</v>
      </c>
      <c r="L82" s="125">
        <v>15</v>
      </c>
      <c r="M82" s="125">
        <v>10</v>
      </c>
      <c r="N82" s="125">
        <v>14</v>
      </c>
      <c r="O82" s="125">
        <v>22</v>
      </c>
      <c r="P82" s="125">
        <v>18</v>
      </c>
      <c r="Q82" s="125">
        <v>27</v>
      </c>
      <c r="R82" s="125">
        <v>16</v>
      </c>
      <c r="S82" s="125">
        <v>14</v>
      </c>
      <c r="T82" s="125">
        <v>9</v>
      </c>
      <c r="U82" s="125">
        <v>6</v>
      </c>
      <c r="V82" s="125">
        <v>10</v>
      </c>
      <c r="W82" s="125">
        <v>19</v>
      </c>
      <c r="X82" s="125">
        <v>27</v>
      </c>
      <c r="Y82" s="125">
        <v>17</v>
      </c>
      <c r="Z82" s="125">
        <v>16</v>
      </c>
      <c r="AA82" s="125">
        <v>15</v>
      </c>
      <c r="AB82" s="125">
        <v>10</v>
      </c>
      <c r="AC82" s="125">
        <v>12</v>
      </c>
      <c r="AD82" s="125">
        <v>11</v>
      </c>
      <c r="AE82" s="125">
        <v>47</v>
      </c>
      <c r="AF82" s="125">
        <v>8</v>
      </c>
      <c r="AG82" s="63">
        <f t="shared" si="35"/>
        <v>574</v>
      </c>
      <c r="AH82" s="63"/>
      <c r="AI82" s="63">
        <f>AG82+AH83+AH84+AH85</f>
        <v>574</v>
      </c>
    </row>
    <row r="83" spans="1:68" ht="21">
      <c r="A83" s="55" t="s">
        <v>23</v>
      </c>
      <c r="B83" s="125">
        <v>2</v>
      </c>
      <c r="C83" s="125">
        <v>0</v>
      </c>
      <c r="D83" s="125">
        <v>0</v>
      </c>
      <c r="E83" s="125">
        <v>0</v>
      </c>
      <c r="F83" s="125">
        <v>0</v>
      </c>
      <c r="G83" s="125">
        <v>0</v>
      </c>
      <c r="H83" s="125">
        <v>0</v>
      </c>
      <c r="I83" s="125">
        <v>0</v>
      </c>
      <c r="J83" s="125">
        <v>1</v>
      </c>
      <c r="K83" s="125">
        <v>1</v>
      </c>
      <c r="L83" s="125">
        <v>0</v>
      </c>
      <c r="M83" s="125">
        <v>0</v>
      </c>
      <c r="N83" s="125">
        <v>0</v>
      </c>
      <c r="O83" s="125">
        <v>0</v>
      </c>
      <c r="P83" s="125">
        <v>0</v>
      </c>
      <c r="Q83" s="125">
        <v>0</v>
      </c>
      <c r="R83" s="125">
        <v>0</v>
      </c>
      <c r="S83" s="125">
        <v>0</v>
      </c>
      <c r="T83" s="125">
        <v>1</v>
      </c>
      <c r="U83" s="125">
        <v>0</v>
      </c>
      <c r="V83" s="125">
        <v>0</v>
      </c>
      <c r="W83" s="125">
        <v>0</v>
      </c>
      <c r="X83" s="125">
        <v>1</v>
      </c>
      <c r="Y83" s="125">
        <v>0</v>
      </c>
      <c r="Z83" s="125">
        <v>0</v>
      </c>
      <c r="AA83" s="125">
        <v>2</v>
      </c>
      <c r="AB83" s="125">
        <v>0</v>
      </c>
      <c r="AC83" s="125">
        <v>0</v>
      </c>
      <c r="AD83" s="125">
        <v>0</v>
      </c>
      <c r="AE83" s="125">
        <v>0</v>
      </c>
      <c r="AF83" s="125">
        <v>0</v>
      </c>
      <c r="AG83" s="63">
        <f t="shared" si="35"/>
        <v>8</v>
      </c>
      <c r="AH83" s="63"/>
      <c r="AI83" s="63">
        <f t="shared" ref="AI83:AI88" si="36">AG83-AH83</f>
        <v>8</v>
      </c>
    </row>
    <row r="84" spans="1:68" ht="21">
      <c r="A84" s="55" t="s">
        <v>24</v>
      </c>
      <c r="B84" s="125">
        <v>0</v>
      </c>
      <c r="C84" s="125">
        <v>0</v>
      </c>
      <c r="D84" s="125">
        <v>0</v>
      </c>
      <c r="E84" s="125">
        <v>0</v>
      </c>
      <c r="F84" s="125">
        <v>0</v>
      </c>
      <c r="G84" s="125">
        <v>0</v>
      </c>
      <c r="H84" s="125">
        <v>1</v>
      </c>
      <c r="I84" s="125">
        <v>0</v>
      </c>
      <c r="J84" s="125">
        <v>0</v>
      </c>
      <c r="K84" s="125">
        <v>0</v>
      </c>
      <c r="L84" s="125">
        <v>0</v>
      </c>
      <c r="M84" s="125">
        <v>0</v>
      </c>
      <c r="N84" s="125">
        <v>0</v>
      </c>
      <c r="O84" s="125">
        <v>1</v>
      </c>
      <c r="P84" s="125">
        <v>0</v>
      </c>
      <c r="Q84" s="125">
        <v>0</v>
      </c>
      <c r="R84" s="125">
        <v>0</v>
      </c>
      <c r="S84" s="125">
        <v>0</v>
      </c>
      <c r="T84" s="125">
        <v>0</v>
      </c>
      <c r="U84" s="125">
        <v>0</v>
      </c>
      <c r="V84" s="125">
        <v>0</v>
      </c>
      <c r="W84" s="125">
        <v>0</v>
      </c>
      <c r="X84" s="125">
        <v>0</v>
      </c>
      <c r="Y84" s="125">
        <v>0</v>
      </c>
      <c r="Z84" s="125">
        <v>0</v>
      </c>
      <c r="AA84" s="125">
        <v>0</v>
      </c>
      <c r="AB84" s="125">
        <v>0</v>
      </c>
      <c r="AC84" s="125">
        <v>0</v>
      </c>
      <c r="AD84" s="125">
        <v>0</v>
      </c>
      <c r="AE84" s="125">
        <v>1</v>
      </c>
      <c r="AF84" s="125">
        <v>1</v>
      </c>
      <c r="AG84" s="63">
        <f t="shared" si="35"/>
        <v>4</v>
      </c>
      <c r="AH84" s="63"/>
      <c r="AI84" s="63">
        <f t="shared" si="36"/>
        <v>4</v>
      </c>
    </row>
    <row r="85" spans="1:68" ht="21">
      <c r="A85" s="55" t="s">
        <v>26</v>
      </c>
      <c r="B85" s="125">
        <v>3</v>
      </c>
      <c r="C85" s="125">
        <v>10</v>
      </c>
      <c r="D85" s="125">
        <v>2</v>
      </c>
      <c r="E85" s="125">
        <v>2</v>
      </c>
      <c r="F85" s="125">
        <v>3</v>
      </c>
      <c r="G85" s="125">
        <v>0</v>
      </c>
      <c r="H85" s="125">
        <v>2</v>
      </c>
      <c r="I85" s="125">
        <v>3</v>
      </c>
      <c r="J85" s="125">
        <v>9</v>
      </c>
      <c r="K85" s="125">
        <v>2</v>
      </c>
      <c r="L85" s="125">
        <v>4</v>
      </c>
      <c r="M85" s="125">
        <v>2</v>
      </c>
      <c r="N85" s="125">
        <v>0</v>
      </c>
      <c r="O85" s="125">
        <v>2</v>
      </c>
      <c r="P85" s="125">
        <v>1</v>
      </c>
      <c r="Q85" s="125">
        <v>3</v>
      </c>
      <c r="R85" s="125">
        <v>2</v>
      </c>
      <c r="S85" s="125">
        <v>7</v>
      </c>
      <c r="T85" s="125">
        <v>0</v>
      </c>
      <c r="U85" s="125">
        <v>1</v>
      </c>
      <c r="V85" s="125">
        <v>0</v>
      </c>
      <c r="W85" s="125">
        <v>1</v>
      </c>
      <c r="X85" s="125">
        <v>3</v>
      </c>
      <c r="Y85" s="125">
        <v>3</v>
      </c>
      <c r="Z85" s="125">
        <v>3</v>
      </c>
      <c r="AA85" s="125">
        <v>2</v>
      </c>
      <c r="AB85" s="125">
        <v>1</v>
      </c>
      <c r="AC85" s="125">
        <v>0</v>
      </c>
      <c r="AD85" s="125">
        <v>2</v>
      </c>
      <c r="AE85" s="125">
        <v>9</v>
      </c>
      <c r="AF85" s="125">
        <v>2</v>
      </c>
      <c r="AG85" s="63">
        <f t="shared" si="35"/>
        <v>84</v>
      </c>
      <c r="AH85" s="63"/>
      <c r="AI85" s="63">
        <f t="shared" si="36"/>
        <v>84</v>
      </c>
    </row>
    <row r="86" spans="1:68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5"/>
        <v>0</v>
      </c>
      <c r="AH86" s="70"/>
      <c r="AI86" s="63">
        <f t="shared" si="36"/>
        <v>0</v>
      </c>
    </row>
    <row r="87" spans="1:68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5"/>
        <v>0</v>
      </c>
      <c r="AH87" s="71"/>
      <c r="AI87" s="63">
        <f t="shared" si="36"/>
        <v>0</v>
      </c>
    </row>
    <row r="88" spans="1:68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5"/>
        <v>0</v>
      </c>
      <c r="AH88" s="63"/>
      <c r="AI88" s="63">
        <f t="shared" si="36"/>
        <v>0</v>
      </c>
    </row>
    <row r="89" spans="1:68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AW89"/>
      <c r="BE89" s="3"/>
      <c r="BF89" s="41"/>
      <c r="BG89" s="41"/>
      <c r="BJ89" s="3"/>
      <c r="BK89" s="3"/>
      <c r="BL89" s="3"/>
      <c r="BM89" s="3"/>
      <c r="BN89" s="3"/>
      <c r="BO89" s="3"/>
      <c r="BP89" s="3"/>
    </row>
    <row r="90" spans="1:68" ht="21">
      <c r="A90" s="53"/>
      <c r="B90" s="54">
        <v>46143</v>
      </c>
      <c r="C90" s="54">
        <v>46144</v>
      </c>
      <c r="D90" s="54">
        <v>46145</v>
      </c>
      <c r="E90" s="54">
        <v>46146</v>
      </c>
      <c r="F90" s="54">
        <v>46147</v>
      </c>
      <c r="G90" s="54">
        <v>46148</v>
      </c>
      <c r="H90" s="54">
        <v>46149</v>
      </c>
      <c r="I90" s="54">
        <v>46150</v>
      </c>
      <c r="J90" s="54">
        <v>46151</v>
      </c>
      <c r="K90" s="54">
        <v>46152</v>
      </c>
      <c r="L90" s="54">
        <v>46153</v>
      </c>
      <c r="M90" s="54">
        <v>46154</v>
      </c>
      <c r="N90" s="54">
        <v>46155</v>
      </c>
      <c r="O90" s="54">
        <v>46156</v>
      </c>
      <c r="P90" s="54">
        <v>46157</v>
      </c>
      <c r="Q90" s="54">
        <v>46158</v>
      </c>
      <c r="R90" s="54">
        <v>46159</v>
      </c>
      <c r="S90" s="54">
        <v>46160</v>
      </c>
      <c r="T90" s="54">
        <v>46161</v>
      </c>
      <c r="U90" s="54">
        <v>46162</v>
      </c>
      <c r="V90" s="54">
        <v>46163</v>
      </c>
      <c r="W90" s="54">
        <v>46164</v>
      </c>
      <c r="X90" s="54">
        <v>46165</v>
      </c>
      <c r="Y90" s="54">
        <v>46166</v>
      </c>
      <c r="Z90" s="54">
        <v>46167</v>
      </c>
      <c r="AA90" s="54">
        <v>46168</v>
      </c>
      <c r="AB90" s="54">
        <v>46169</v>
      </c>
      <c r="AC90" s="54">
        <v>46170</v>
      </c>
      <c r="AD90" s="54">
        <v>46171</v>
      </c>
      <c r="AE90" s="54">
        <v>46172</v>
      </c>
      <c r="AF90" s="54">
        <v>46173</v>
      </c>
      <c r="AG90" s="61" t="s">
        <v>2</v>
      </c>
      <c r="AH90" s="61" t="s">
        <v>3</v>
      </c>
      <c r="AI90" s="62" t="s">
        <v>59</v>
      </c>
    </row>
    <row r="91" spans="1:68" ht="21">
      <c r="A91" s="55" t="s">
        <v>56</v>
      </c>
      <c r="B91" s="56">
        <v>0</v>
      </c>
      <c r="C91" s="56">
        <v>63</v>
      </c>
      <c r="D91" s="56">
        <v>55</v>
      </c>
      <c r="E91" s="56">
        <v>37</v>
      </c>
      <c r="F91" s="56">
        <v>38</v>
      </c>
      <c r="G91" s="56">
        <v>33</v>
      </c>
      <c r="H91" s="56">
        <v>40</v>
      </c>
      <c r="I91" s="56">
        <v>74</v>
      </c>
      <c r="J91" s="56">
        <v>63</v>
      </c>
      <c r="K91" s="56">
        <v>25</v>
      </c>
      <c r="L91" s="56">
        <v>35</v>
      </c>
      <c r="M91" s="56">
        <v>40</v>
      </c>
      <c r="N91" s="56">
        <v>32</v>
      </c>
      <c r="O91" s="56">
        <v>47</v>
      </c>
      <c r="P91" s="56">
        <v>66</v>
      </c>
      <c r="Q91" s="56">
        <v>70</v>
      </c>
      <c r="R91" s="56">
        <v>40</v>
      </c>
      <c r="S91" s="56">
        <v>34</v>
      </c>
      <c r="T91" s="56">
        <v>38</v>
      </c>
      <c r="U91" s="56">
        <v>44</v>
      </c>
      <c r="V91" s="56">
        <v>56</v>
      </c>
      <c r="W91" s="56">
        <v>85</v>
      </c>
      <c r="X91" s="56">
        <v>42</v>
      </c>
      <c r="Y91" s="56">
        <v>25</v>
      </c>
      <c r="Z91" s="56">
        <v>39</v>
      </c>
      <c r="AA91" s="56">
        <v>32</v>
      </c>
      <c r="AB91" s="56">
        <v>40</v>
      </c>
      <c r="AC91" s="56">
        <v>53</v>
      </c>
      <c r="AD91" s="56">
        <v>57</v>
      </c>
      <c r="AE91" s="56">
        <v>71</v>
      </c>
      <c r="AF91" s="56">
        <v>44</v>
      </c>
      <c r="AG91" s="63">
        <f>SUM(B91:AF91)</f>
        <v>1418</v>
      </c>
      <c r="AH91" s="63"/>
      <c r="AI91" s="63">
        <f>AG91</f>
        <v>1418</v>
      </c>
    </row>
    <row r="92" spans="1:68" ht="21">
      <c r="A92" s="55" t="s">
        <v>21</v>
      </c>
      <c r="B92" s="56">
        <v>0</v>
      </c>
      <c r="C92" s="56">
        <v>49</v>
      </c>
      <c r="D92" s="56">
        <v>30</v>
      </c>
      <c r="E92" s="56">
        <v>17</v>
      </c>
      <c r="F92" s="56">
        <v>15</v>
      </c>
      <c r="G92" s="56">
        <v>16</v>
      </c>
      <c r="H92" s="56">
        <v>18</v>
      </c>
      <c r="I92" s="56">
        <v>25</v>
      </c>
      <c r="J92" s="56">
        <v>38</v>
      </c>
      <c r="K92" s="56">
        <v>12</v>
      </c>
      <c r="L92" s="56">
        <v>19</v>
      </c>
      <c r="M92" s="56">
        <v>14</v>
      </c>
      <c r="N92" s="56">
        <v>13</v>
      </c>
      <c r="O92" s="56">
        <v>25</v>
      </c>
      <c r="P92" s="56">
        <v>20</v>
      </c>
      <c r="Q92" s="56">
        <v>41</v>
      </c>
      <c r="R92" s="56">
        <v>25</v>
      </c>
      <c r="S92" s="56">
        <v>9</v>
      </c>
      <c r="T92" s="56">
        <v>19</v>
      </c>
      <c r="U92" s="56">
        <v>18</v>
      </c>
      <c r="V92" s="56">
        <v>15</v>
      </c>
      <c r="W92" s="56">
        <v>17</v>
      </c>
      <c r="X92" s="56">
        <v>20</v>
      </c>
      <c r="Y92" s="56">
        <v>12</v>
      </c>
      <c r="Z92" s="56">
        <v>16</v>
      </c>
      <c r="AA92" s="56">
        <v>13</v>
      </c>
      <c r="AB92" s="56">
        <v>13</v>
      </c>
      <c r="AC92" s="56">
        <v>17</v>
      </c>
      <c r="AD92" s="56">
        <v>25</v>
      </c>
      <c r="AE92" s="56">
        <v>45</v>
      </c>
      <c r="AF92" s="56">
        <v>29</v>
      </c>
      <c r="AG92" s="63">
        <f t="shared" ref="AG92:AG99" si="37">SUM(B92:AF92)</f>
        <v>645</v>
      </c>
      <c r="AH92" s="63"/>
      <c r="AI92" s="63">
        <f>AG92+AH94+AH95+AH96</f>
        <v>645</v>
      </c>
    </row>
    <row r="93" spans="1:68" ht="21">
      <c r="A93" s="55" t="s">
        <v>22</v>
      </c>
      <c r="B93" s="125">
        <v>0</v>
      </c>
      <c r="C93" s="125">
        <v>34</v>
      </c>
      <c r="D93" s="125">
        <v>23</v>
      </c>
      <c r="E93" s="125">
        <v>17</v>
      </c>
      <c r="F93" s="125">
        <v>15</v>
      </c>
      <c r="G93" s="125">
        <v>16</v>
      </c>
      <c r="H93" s="125">
        <v>18</v>
      </c>
      <c r="I93" s="125">
        <v>25</v>
      </c>
      <c r="J93" s="125">
        <v>38</v>
      </c>
      <c r="K93" s="125">
        <v>12</v>
      </c>
      <c r="L93" s="125">
        <v>19</v>
      </c>
      <c r="M93" s="125">
        <v>14</v>
      </c>
      <c r="N93" s="125">
        <v>13</v>
      </c>
      <c r="O93" s="125">
        <v>24</v>
      </c>
      <c r="P93" s="125">
        <v>20</v>
      </c>
      <c r="Q93" s="125">
        <v>41</v>
      </c>
      <c r="R93" s="125">
        <v>23</v>
      </c>
      <c r="S93" s="125">
        <v>9</v>
      </c>
      <c r="T93" s="125">
        <v>19</v>
      </c>
      <c r="U93" s="125">
        <v>18</v>
      </c>
      <c r="V93" s="125">
        <v>15</v>
      </c>
      <c r="W93" s="125">
        <v>17</v>
      </c>
      <c r="X93" s="125">
        <v>20</v>
      </c>
      <c r="Y93" s="125">
        <v>12</v>
      </c>
      <c r="Z93" s="125">
        <v>16</v>
      </c>
      <c r="AA93" s="125">
        <v>13</v>
      </c>
      <c r="AB93" s="125">
        <v>13</v>
      </c>
      <c r="AC93" s="125">
        <v>17</v>
      </c>
      <c r="AD93" s="125">
        <v>25</v>
      </c>
      <c r="AE93" s="125">
        <v>38</v>
      </c>
      <c r="AF93" s="125">
        <v>26</v>
      </c>
      <c r="AG93" s="63">
        <f t="shared" si="37"/>
        <v>610</v>
      </c>
      <c r="AH93" s="63"/>
      <c r="AI93" s="63">
        <f>AG93+AH94+AH95+AH96</f>
        <v>610</v>
      </c>
    </row>
    <row r="94" spans="1:68" ht="21">
      <c r="A94" s="55" t="s">
        <v>23</v>
      </c>
      <c r="B94" s="125">
        <v>0</v>
      </c>
      <c r="C94" s="125">
        <v>0</v>
      </c>
      <c r="D94" s="125">
        <v>0</v>
      </c>
      <c r="E94" s="125">
        <v>0</v>
      </c>
      <c r="F94" s="125">
        <v>0</v>
      </c>
      <c r="G94" s="125">
        <v>0</v>
      </c>
      <c r="H94" s="125">
        <v>0</v>
      </c>
      <c r="I94" s="125">
        <v>0</v>
      </c>
      <c r="J94" s="125">
        <v>0</v>
      </c>
      <c r="K94" s="125">
        <v>0</v>
      </c>
      <c r="L94" s="125">
        <v>0</v>
      </c>
      <c r="M94" s="125">
        <v>0</v>
      </c>
      <c r="N94" s="125">
        <v>0</v>
      </c>
      <c r="O94" s="125">
        <v>1</v>
      </c>
      <c r="P94" s="125">
        <v>0</v>
      </c>
      <c r="Q94" s="125">
        <v>0</v>
      </c>
      <c r="R94" s="125">
        <v>1</v>
      </c>
      <c r="S94" s="125">
        <v>0</v>
      </c>
      <c r="T94" s="125">
        <v>0</v>
      </c>
      <c r="U94" s="125">
        <v>0</v>
      </c>
      <c r="V94" s="125">
        <v>0</v>
      </c>
      <c r="W94" s="125">
        <v>0</v>
      </c>
      <c r="X94" s="125">
        <v>0</v>
      </c>
      <c r="Y94" s="125">
        <v>0</v>
      </c>
      <c r="Z94" s="125">
        <v>0</v>
      </c>
      <c r="AA94" s="125">
        <v>0</v>
      </c>
      <c r="AB94" s="125">
        <v>0</v>
      </c>
      <c r="AC94" s="125">
        <v>0</v>
      </c>
      <c r="AD94" s="125">
        <v>0</v>
      </c>
      <c r="AE94" s="125">
        <v>0</v>
      </c>
      <c r="AF94" s="125">
        <v>0</v>
      </c>
      <c r="AG94" s="63">
        <f t="shared" si="37"/>
        <v>2</v>
      </c>
      <c r="AH94" s="63"/>
      <c r="AI94" s="63">
        <f t="shared" ref="AI94:AI99" si="38">AG94-AH94</f>
        <v>2</v>
      </c>
    </row>
    <row r="95" spans="1:68" ht="21">
      <c r="A95" s="55" t="s">
        <v>24</v>
      </c>
      <c r="B95" s="125">
        <v>0</v>
      </c>
      <c r="C95" s="125">
        <v>0</v>
      </c>
      <c r="D95" s="125">
        <v>0</v>
      </c>
      <c r="E95" s="125">
        <v>0</v>
      </c>
      <c r="F95" s="125">
        <v>0</v>
      </c>
      <c r="G95" s="125">
        <v>0</v>
      </c>
      <c r="H95" s="125">
        <v>0</v>
      </c>
      <c r="I95" s="125">
        <v>0</v>
      </c>
      <c r="J95" s="125">
        <v>0</v>
      </c>
      <c r="K95" s="125">
        <v>0</v>
      </c>
      <c r="L95" s="125">
        <v>0</v>
      </c>
      <c r="M95" s="125">
        <v>0</v>
      </c>
      <c r="N95" s="125">
        <v>0</v>
      </c>
      <c r="O95" s="125">
        <v>0</v>
      </c>
      <c r="P95" s="125">
        <v>0</v>
      </c>
      <c r="Q95" s="125">
        <v>0</v>
      </c>
      <c r="R95" s="125">
        <v>0</v>
      </c>
      <c r="S95" s="125">
        <v>0</v>
      </c>
      <c r="T95" s="125">
        <v>0</v>
      </c>
      <c r="U95" s="125">
        <v>0</v>
      </c>
      <c r="V95" s="125">
        <v>0</v>
      </c>
      <c r="W95" s="125">
        <v>0</v>
      </c>
      <c r="X95" s="125">
        <v>0</v>
      </c>
      <c r="Y95" s="125">
        <v>0</v>
      </c>
      <c r="Z95" s="125">
        <v>0</v>
      </c>
      <c r="AA95" s="125">
        <v>0</v>
      </c>
      <c r="AB95" s="125">
        <v>0</v>
      </c>
      <c r="AC95" s="125">
        <v>0</v>
      </c>
      <c r="AD95" s="125">
        <v>0</v>
      </c>
      <c r="AE95" s="125">
        <v>0</v>
      </c>
      <c r="AF95" s="125">
        <v>0</v>
      </c>
      <c r="AG95" s="63">
        <f t="shared" si="37"/>
        <v>0</v>
      </c>
      <c r="AH95" s="63"/>
      <c r="AI95" s="63">
        <f t="shared" si="38"/>
        <v>0</v>
      </c>
    </row>
    <row r="96" spans="1:68" ht="21">
      <c r="A96" s="55" t="s">
        <v>26</v>
      </c>
      <c r="B96" s="125">
        <v>0</v>
      </c>
      <c r="C96" s="125">
        <v>15</v>
      </c>
      <c r="D96" s="125">
        <v>7</v>
      </c>
      <c r="E96" s="125">
        <v>0</v>
      </c>
      <c r="F96" s="125">
        <v>0</v>
      </c>
      <c r="G96" s="125">
        <v>0</v>
      </c>
      <c r="H96" s="125">
        <v>0</v>
      </c>
      <c r="I96" s="125">
        <v>0</v>
      </c>
      <c r="J96" s="125">
        <v>0</v>
      </c>
      <c r="K96" s="125">
        <v>0</v>
      </c>
      <c r="L96" s="125">
        <v>0</v>
      </c>
      <c r="M96" s="125">
        <v>0</v>
      </c>
      <c r="N96" s="125">
        <v>0</v>
      </c>
      <c r="O96" s="125">
        <v>0</v>
      </c>
      <c r="P96" s="125">
        <v>0</v>
      </c>
      <c r="Q96" s="125">
        <v>0</v>
      </c>
      <c r="R96" s="125">
        <v>1</v>
      </c>
      <c r="S96" s="125">
        <v>0</v>
      </c>
      <c r="T96" s="125">
        <v>0</v>
      </c>
      <c r="U96" s="125">
        <v>0</v>
      </c>
      <c r="V96" s="125">
        <v>0</v>
      </c>
      <c r="W96" s="125">
        <v>0</v>
      </c>
      <c r="X96" s="125">
        <v>0</v>
      </c>
      <c r="Y96" s="125">
        <v>0</v>
      </c>
      <c r="Z96" s="125">
        <v>0</v>
      </c>
      <c r="AA96" s="125">
        <v>0</v>
      </c>
      <c r="AB96" s="125">
        <v>0</v>
      </c>
      <c r="AC96" s="125">
        <v>0</v>
      </c>
      <c r="AD96" s="125">
        <v>0</v>
      </c>
      <c r="AE96" s="125">
        <v>7</v>
      </c>
      <c r="AF96" s="125">
        <v>3</v>
      </c>
      <c r="AG96" s="63">
        <f t="shared" si="37"/>
        <v>33</v>
      </c>
      <c r="AH96" s="63"/>
      <c r="AI96" s="63">
        <f t="shared" si="38"/>
        <v>33</v>
      </c>
    </row>
    <row r="97" spans="1:76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7"/>
        <v>0</v>
      </c>
      <c r="AH97" s="70"/>
      <c r="AI97" s="63">
        <f t="shared" si="38"/>
        <v>0</v>
      </c>
    </row>
    <row r="98" spans="1:76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7"/>
        <v>0</v>
      </c>
      <c r="AH98" s="71"/>
      <c r="AI98" s="63">
        <f t="shared" si="38"/>
        <v>0</v>
      </c>
    </row>
    <row r="99" spans="1:76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7"/>
        <v>0</v>
      </c>
      <c r="AH99" s="63"/>
      <c r="AI99" s="63">
        <f t="shared" si="38"/>
        <v>0</v>
      </c>
    </row>
    <row r="100" spans="1:76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AW100"/>
      <c r="BE100" s="3"/>
      <c r="BF100" s="41"/>
      <c r="BG100" s="41"/>
      <c r="BJ100" s="3"/>
      <c r="BK100" s="3"/>
      <c r="BL100" s="3"/>
      <c r="BM100" s="3"/>
      <c r="BN100" s="3"/>
      <c r="BO100" s="3"/>
      <c r="BP100" s="3"/>
    </row>
    <row r="101" spans="1:76" ht="21">
      <c r="A101" s="53"/>
      <c r="B101" s="54">
        <v>46143</v>
      </c>
      <c r="C101" s="54">
        <v>46144</v>
      </c>
      <c r="D101" s="54">
        <v>46145</v>
      </c>
      <c r="E101" s="54">
        <v>46146</v>
      </c>
      <c r="F101" s="54">
        <v>46147</v>
      </c>
      <c r="G101" s="54">
        <v>46148</v>
      </c>
      <c r="H101" s="54">
        <v>46149</v>
      </c>
      <c r="I101" s="54">
        <v>46150</v>
      </c>
      <c r="J101" s="54">
        <v>46151</v>
      </c>
      <c r="K101" s="54">
        <v>46152</v>
      </c>
      <c r="L101" s="54">
        <v>46153</v>
      </c>
      <c r="M101" s="54">
        <v>46154</v>
      </c>
      <c r="N101" s="54">
        <v>46155</v>
      </c>
      <c r="O101" s="54">
        <v>46156</v>
      </c>
      <c r="P101" s="54">
        <v>46157</v>
      </c>
      <c r="Q101" s="54">
        <v>46158</v>
      </c>
      <c r="R101" s="54">
        <v>46159</v>
      </c>
      <c r="S101" s="54">
        <v>46160</v>
      </c>
      <c r="T101" s="54">
        <v>46161</v>
      </c>
      <c r="U101" s="54">
        <v>46162</v>
      </c>
      <c r="V101" s="54">
        <v>46163</v>
      </c>
      <c r="W101" s="54">
        <v>46164</v>
      </c>
      <c r="X101" s="54">
        <v>46165</v>
      </c>
      <c r="Y101" s="54">
        <v>46166</v>
      </c>
      <c r="Z101" s="54">
        <v>46167</v>
      </c>
      <c r="AA101" s="54">
        <v>46168</v>
      </c>
      <c r="AB101" s="54">
        <v>46169</v>
      </c>
      <c r="AC101" s="54">
        <v>46170</v>
      </c>
      <c r="AD101" s="54">
        <v>46171</v>
      </c>
      <c r="AE101" s="54">
        <v>46172</v>
      </c>
      <c r="AF101" s="54">
        <v>46173</v>
      </c>
      <c r="AG101" s="61" t="s">
        <v>2</v>
      </c>
      <c r="AH101" s="61" t="s">
        <v>3</v>
      </c>
      <c r="AI101" s="62" t="s">
        <v>61</v>
      </c>
    </row>
    <row r="102" spans="1:76" ht="21">
      <c r="A102" s="55" t="s">
        <v>56</v>
      </c>
      <c r="B102" s="56">
        <v>0</v>
      </c>
      <c r="C102" s="56">
        <v>90</v>
      </c>
      <c r="D102" s="56">
        <v>0</v>
      </c>
      <c r="E102" s="56">
        <v>29</v>
      </c>
      <c r="F102" s="56">
        <v>40</v>
      </c>
      <c r="G102" s="56">
        <v>18</v>
      </c>
      <c r="H102" s="56">
        <v>40</v>
      </c>
      <c r="I102" s="56">
        <v>60</v>
      </c>
      <c r="J102" s="56">
        <v>86</v>
      </c>
      <c r="K102" s="56">
        <v>0</v>
      </c>
      <c r="L102" s="56">
        <v>19</v>
      </c>
      <c r="M102" s="56">
        <v>14</v>
      </c>
      <c r="N102" s="56">
        <v>33</v>
      </c>
      <c r="O102" s="56">
        <v>16</v>
      </c>
      <c r="P102" s="56">
        <v>40</v>
      </c>
      <c r="Q102" s="56">
        <v>61</v>
      </c>
      <c r="R102" s="56">
        <v>0</v>
      </c>
      <c r="S102" s="56">
        <v>27</v>
      </c>
      <c r="T102" s="56">
        <v>33</v>
      </c>
      <c r="U102" s="56">
        <v>40</v>
      </c>
      <c r="V102" s="56">
        <v>37</v>
      </c>
      <c r="W102" s="56">
        <v>71</v>
      </c>
      <c r="X102" s="56">
        <v>58</v>
      </c>
      <c r="Y102" s="56">
        <v>0</v>
      </c>
      <c r="Z102" s="56">
        <v>30</v>
      </c>
      <c r="AA102" s="56">
        <v>29</v>
      </c>
      <c r="AB102" s="56">
        <v>25</v>
      </c>
      <c r="AC102" s="56">
        <v>32</v>
      </c>
      <c r="AD102" s="56">
        <v>73</v>
      </c>
      <c r="AE102" s="56">
        <v>69</v>
      </c>
      <c r="AF102" s="56">
        <v>0</v>
      </c>
      <c r="AG102" s="63">
        <f>SUM(B102:AF102)</f>
        <v>1070</v>
      </c>
      <c r="AH102" s="63"/>
      <c r="AI102" s="63">
        <f>AG102</f>
        <v>1070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2"/>
      <c r="BW102" s="122"/>
      <c r="BX102" s="123"/>
    </row>
    <row r="103" spans="1:76" ht="21">
      <c r="A103" s="55" t="s">
        <v>21</v>
      </c>
      <c r="B103" s="56">
        <v>0</v>
      </c>
      <c r="C103" s="56">
        <v>49</v>
      </c>
      <c r="D103" s="56">
        <v>0</v>
      </c>
      <c r="E103" s="56">
        <v>18</v>
      </c>
      <c r="F103" s="56">
        <v>24</v>
      </c>
      <c r="G103" s="56">
        <v>11</v>
      </c>
      <c r="H103" s="56">
        <v>19</v>
      </c>
      <c r="I103" s="56">
        <v>24</v>
      </c>
      <c r="J103" s="56">
        <v>51</v>
      </c>
      <c r="K103" s="56">
        <v>0</v>
      </c>
      <c r="L103" s="56">
        <v>12</v>
      </c>
      <c r="M103" s="56">
        <v>4</v>
      </c>
      <c r="N103" s="56">
        <v>15</v>
      </c>
      <c r="O103" s="56">
        <v>8</v>
      </c>
      <c r="P103" s="56">
        <v>14</v>
      </c>
      <c r="Q103" s="56">
        <v>42</v>
      </c>
      <c r="R103" s="56">
        <v>0</v>
      </c>
      <c r="S103" s="56">
        <v>13</v>
      </c>
      <c r="T103" s="56">
        <v>12</v>
      </c>
      <c r="U103" s="56">
        <v>16</v>
      </c>
      <c r="V103" s="56">
        <v>18</v>
      </c>
      <c r="W103" s="56">
        <v>17</v>
      </c>
      <c r="X103" s="56">
        <v>29</v>
      </c>
      <c r="Y103" s="56">
        <v>0</v>
      </c>
      <c r="Z103" s="56">
        <v>9</v>
      </c>
      <c r="AA103" s="56">
        <v>9</v>
      </c>
      <c r="AB103" s="56">
        <v>10</v>
      </c>
      <c r="AC103" s="56">
        <v>11</v>
      </c>
      <c r="AD103" s="56">
        <v>28</v>
      </c>
      <c r="AE103" s="56">
        <v>43</v>
      </c>
      <c r="AF103" s="56">
        <v>0</v>
      </c>
      <c r="AG103" s="63">
        <f t="shared" ref="AG103:AG110" si="39">SUM(B103:AF103)</f>
        <v>506</v>
      </c>
      <c r="AH103" s="63"/>
      <c r="AI103" s="63">
        <f>AG103+AH105+AH106+AH107</f>
        <v>506</v>
      </c>
      <c r="BF103"/>
      <c r="BG103"/>
      <c r="BH103"/>
      <c r="BI103"/>
    </row>
    <row r="104" spans="1:76" ht="21">
      <c r="A104" s="55" t="s">
        <v>22</v>
      </c>
      <c r="B104" s="125">
        <v>0</v>
      </c>
      <c r="C104" s="125">
        <v>49</v>
      </c>
      <c r="D104" s="125">
        <v>0</v>
      </c>
      <c r="E104" s="125">
        <v>18</v>
      </c>
      <c r="F104" s="125">
        <v>24</v>
      </c>
      <c r="G104" s="125">
        <v>11</v>
      </c>
      <c r="H104" s="125">
        <v>19</v>
      </c>
      <c r="I104" s="125">
        <v>24</v>
      </c>
      <c r="J104" s="125">
        <v>51</v>
      </c>
      <c r="K104" s="125">
        <v>0</v>
      </c>
      <c r="L104" s="125">
        <v>12</v>
      </c>
      <c r="M104" s="125">
        <v>4</v>
      </c>
      <c r="N104" s="125">
        <v>15</v>
      </c>
      <c r="O104" s="125">
        <v>8</v>
      </c>
      <c r="P104" s="125">
        <v>14</v>
      </c>
      <c r="Q104" s="125">
        <v>42</v>
      </c>
      <c r="R104" s="125">
        <v>0</v>
      </c>
      <c r="S104" s="125">
        <v>13</v>
      </c>
      <c r="T104" s="125">
        <v>12</v>
      </c>
      <c r="U104" s="125">
        <v>16</v>
      </c>
      <c r="V104" s="125">
        <v>18</v>
      </c>
      <c r="W104" s="125">
        <v>17</v>
      </c>
      <c r="X104" s="125">
        <v>29</v>
      </c>
      <c r="Y104" s="125">
        <v>0</v>
      </c>
      <c r="Z104" s="125">
        <v>9</v>
      </c>
      <c r="AA104" s="125">
        <v>9</v>
      </c>
      <c r="AB104" s="125">
        <v>10</v>
      </c>
      <c r="AC104" s="125">
        <v>11</v>
      </c>
      <c r="AD104" s="125">
        <v>28</v>
      </c>
      <c r="AE104" s="125">
        <v>43</v>
      </c>
      <c r="AF104" s="125">
        <v>0</v>
      </c>
      <c r="AG104" s="63">
        <f t="shared" si="39"/>
        <v>506</v>
      </c>
      <c r="AH104" s="63"/>
      <c r="AI104" s="63">
        <f>AG104+AH105+AH106+AH107</f>
        <v>506</v>
      </c>
    </row>
    <row r="105" spans="1:76" ht="21">
      <c r="A105" s="55" t="s">
        <v>23</v>
      </c>
      <c r="B105" s="125">
        <v>0</v>
      </c>
      <c r="C105" s="125">
        <v>0</v>
      </c>
      <c r="D105" s="125">
        <v>0</v>
      </c>
      <c r="E105" s="125">
        <v>0</v>
      </c>
      <c r="F105" s="125">
        <v>0</v>
      </c>
      <c r="G105" s="125">
        <v>0</v>
      </c>
      <c r="H105" s="125">
        <v>0</v>
      </c>
      <c r="I105" s="125">
        <v>0</v>
      </c>
      <c r="J105" s="125">
        <v>0</v>
      </c>
      <c r="K105" s="125">
        <v>0</v>
      </c>
      <c r="L105" s="125">
        <v>0</v>
      </c>
      <c r="M105" s="125">
        <v>0</v>
      </c>
      <c r="N105" s="125">
        <v>0</v>
      </c>
      <c r="O105" s="125">
        <v>0</v>
      </c>
      <c r="P105" s="125">
        <v>0</v>
      </c>
      <c r="Q105" s="125">
        <v>0</v>
      </c>
      <c r="R105" s="125">
        <v>0</v>
      </c>
      <c r="S105" s="125">
        <v>0</v>
      </c>
      <c r="T105" s="125">
        <v>0</v>
      </c>
      <c r="U105" s="125">
        <v>0</v>
      </c>
      <c r="V105" s="125">
        <v>0</v>
      </c>
      <c r="W105" s="125">
        <v>0</v>
      </c>
      <c r="X105" s="125">
        <v>0</v>
      </c>
      <c r="Y105" s="125">
        <v>0</v>
      </c>
      <c r="Z105" s="125">
        <v>0</v>
      </c>
      <c r="AA105" s="125">
        <v>0</v>
      </c>
      <c r="AB105" s="125">
        <v>0</v>
      </c>
      <c r="AC105" s="125">
        <v>0</v>
      </c>
      <c r="AD105" s="125">
        <v>0</v>
      </c>
      <c r="AE105" s="125">
        <v>0</v>
      </c>
      <c r="AF105" s="125">
        <v>0</v>
      </c>
      <c r="AG105" s="63">
        <f t="shared" si="39"/>
        <v>0</v>
      </c>
      <c r="AH105" s="63"/>
      <c r="AI105" s="63">
        <f t="shared" ref="AI105:AI110" si="40">AG105-AH105</f>
        <v>0</v>
      </c>
    </row>
    <row r="106" spans="1:76" ht="21">
      <c r="A106" s="55" t="s">
        <v>24</v>
      </c>
      <c r="B106" s="125">
        <v>0</v>
      </c>
      <c r="C106" s="125">
        <v>0</v>
      </c>
      <c r="D106" s="125">
        <v>0</v>
      </c>
      <c r="E106" s="125">
        <v>0</v>
      </c>
      <c r="F106" s="125">
        <v>0</v>
      </c>
      <c r="G106" s="125">
        <v>0</v>
      </c>
      <c r="H106" s="125">
        <v>0</v>
      </c>
      <c r="I106" s="125">
        <v>0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0</v>
      </c>
      <c r="R106" s="125">
        <v>0</v>
      </c>
      <c r="S106" s="125">
        <v>0</v>
      </c>
      <c r="T106" s="125">
        <v>0</v>
      </c>
      <c r="U106" s="125">
        <v>0</v>
      </c>
      <c r="V106" s="125">
        <v>0</v>
      </c>
      <c r="W106" s="125">
        <v>0</v>
      </c>
      <c r="X106" s="125">
        <v>0</v>
      </c>
      <c r="Y106" s="125">
        <v>0</v>
      </c>
      <c r="Z106" s="125">
        <v>0</v>
      </c>
      <c r="AA106" s="125">
        <v>0</v>
      </c>
      <c r="AB106" s="125">
        <v>0</v>
      </c>
      <c r="AC106" s="125">
        <v>0</v>
      </c>
      <c r="AD106" s="125">
        <v>0</v>
      </c>
      <c r="AE106" s="125">
        <v>0</v>
      </c>
      <c r="AF106" s="125">
        <v>0</v>
      </c>
      <c r="AG106" s="63">
        <f t="shared" si="39"/>
        <v>0</v>
      </c>
      <c r="AH106" s="63"/>
      <c r="AI106" s="63">
        <f t="shared" si="40"/>
        <v>0</v>
      </c>
    </row>
    <row r="107" spans="1:76" ht="21">
      <c r="A107" s="55" t="s">
        <v>26</v>
      </c>
      <c r="B107" s="125">
        <v>0</v>
      </c>
      <c r="C107" s="125">
        <v>0</v>
      </c>
      <c r="D107" s="125">
        <v>0</v>
      </c>
      <c r="E107" s="125">
        <v>0</v>
      </c>
      <c r="F107" s="125">
        <v>0</v>
      </c>
      <c r="G107" s="125">
        <v>0</v>
      </c>
      <c r="H107" s="125">
        <v>0</v>
      </c>
      <c r="I107" s="125">
        <v>0</v>
      </c>
      <c r="J107" s="125">
        <v>0</v>
      </c>
      <c r="K107" s="125">
        <v>0</v>
      </c>
      <c r="L107" s="125">
        <v>0</v>
      </c>
      <c r="M107" s="125">
        <v>0</v>
      </c>
      <c r="N107" s="125">
        <v>0</v>
      </c>
      <c r="O107" s="125">
        <v>0</v>
      </c>
      <c r="P107" s="125">
        <v>0</v>
      </c>
      <c r="Q107" s="125">
        <v>0</v>
      </c>
      <c r="R107" s="125">
        <v>0</v>
      </c>
      <c r="S107" s="125">
        <v>0</v>
      </c>
      <c r="T107" s="125">
        <v>0</v>
      </c>
      <c r="U107" s="125">
        <v>0</v>
      </c>
      <c r="V107" s="125">
        <v>0</v>
      </c>
      <c r="W107" s="125">
        <v>0</v>
      </c>
      <c r="X107" s="125">
        <v>0</v>
      </c>
      <c r="Y107" s="125">
        <v>0</v>
      </c>
      <c r="Z107" s="125">
        <v>0</v>
      </c>
      <c r="AA107" s="125">
        <v>0</v>
      </c>
      <c r="AB107" s="125">
        <v>0</v>
      </c>
      <c r="AC107" s="125">
        <v>0</v>
      </c>
      <c r="AD107" s="125">
        <v>0</v>
      </c>
      <c r="AE107" s="125">
        <v>0</v>
      </c>
      <c r="AF107" s="125">
        <v>0</v>
      </c>
      <c r="AG107" s="63">
        <f t="shared" si="39"/>
        <v>0</v>
      </c>
      <c r="AH107" s="63"/>
      <c r="AI107" s="63">
        <f t="shared" si="40"/>
        <v>0</v>
      </c>
    </row>
    <row r="108" spans="1:76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9"/>
        <v>0</v>
      </c>
      <c r="AH108" s="70"/>
      <c r="AI108" s="63">
        <f t="shared" si="40"/>
        <v>0</v>
      </c>
    </row>
    <row r="109" spans="1:76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9"/>
        <v>0</v>
      </c>
      <c r="AH109" s="71"/>
      <c r="AI109" s="63">
        <f t="shared" si="40"/>
        <v>0</v>
      </c>
    </row>
    <row r="110" spans="1:76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9"/>
        <v>0</v>
      </c>
      <c r="AH110" s="63"/>
      <c r="AI110" s="63">
        <f t="shared" si="40"/>
        <v>0</v>
      </c>
    </row>
    <row r="113" spans="1:76" ht="23.25">
      <c r="A113" s="250" t="s">
        <v>303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59"/>
      <c r="AI113" s="60"/>
      <c r="AL113"/>
      <c r="AM113"/>
      <c r="AN113"/>
      <c r="AO113"/>
      <c r="AP113"/>
      <c r="AQ113"/>
      <c r="AR113"/>
      <c r="AS113"/>
      <c r="AT113"/>
      <c r="AU113"/>
      <c r="AV113"/>
      <c r="AW113"/>
      <c r="BE113" s="3"/>
      <c r="BF113" s="41"/>
      <c r="BG113" s="41"/>
      <c r="BJ113" s="3"/>
      <c r="BK113" s="3"/>
      <c r="BL113" s="3"/>
      <c r="BM113" s="3"/>
      <c r="BN113" s="3"/>
      <c r="BO113" s="3"/>
      <c r="BP113" s="3"/>
    </row>
    <row r="114" spans="1:76" ht="21">
      <c r="A114" s="53"/>
      <c r="B114" s="54">
        <v>46143</v>
      </c>
      <c r="C114" s="54">
        <v>46144</v>
      </c>
      <c r="D114" s="54">
        <v>46145</v>
      </c>
      <c r="E114" s="54">
        <v>46146</v>
      </c>
      <c r="F114" s="54">
        <v>46147</v>
      </c>
      <c r="G114" s="54">
        <v>46148</v>
      </c>
      <c r="H114" s="54">
        <v>46149</v>
      </c>
      <c r="I114" s="54">
        <v>46150</v>
      </c>
      <c r="J114" s="54">
        <v>46151</v>
      </c>
      <c r="K114" s="54">
        <v>46152</v>
      </c>
      <c r="L114" s="54">
        <v>46153</v>
      </c>
      <c r="M114" s="54">
        <v>46154</v>
      </c>
      <c r="N114" s="54">
        <v>46155</v>
      </c>
      <c r="O114" s="54">
        <v>46156</v>
      </c>
      <c r="P114" s="54">
        <v>46157</v>
      </c>
      <c r="Q114" s="54">
        <v>46158</v>
      </c>
      <c r="R114" s="54">
        <v>46159</v>
      </c>
      <c r="S114" s="54">
        <v>46160</v>
      </c>
      <c r="T114" s="54">
        <v>46161</v>
      </c>
      <c r="U114" s="54">
        <v>46162</v>
      </c>
      <c r="V114" s="54">
        <v>46163</v>
      </c>
      <c r="W114" s="54">
        <v>46164</v>
      </c>
      <c r="X114" s="54">
        <v>46165</v>
      </c>
      <c r="Y114" s="54">
        <v>46166</v>
      </c>
      <c r="Z114" s="54">
        <v>46167</v>
      </c>
      <c r="AA114" s="54">
        <v>46168</v>
      </c>
      <c r="AB114" s="54">
        <v>46169</v>
      </c>
      <c r="AC114" s="54">
        <v>46170</v>
      </c>
      <c r="AD114" s="54">
        <v>46171</v>
      </c>
      <c r="AE114" s="54">
        <v>46172</v>
      </c>
      <c r="AF114" s="54">
        <v>46173</v>
      </c>
      <c r="AG114" s="61" t="s">
        <v>2</v>
      </c>
      <c r="AH114" s="61" t="s">
        <v>3</v>
      </c>
      <c r="AI114" s="62" t="s">
        <v>304</v>
      </c>
    </row>
    <row r="115" spans="1:76" ht="21">
      <c r="A115" s="55" t="s">
        <v>56</v>
      </c>
      <c r="B115" s="56">
        <v>29</v>
      </c>
      <c r="C115" s="56">
        <v>21</v>
      </c>
      <c r="D115" s="56">
        <v>11</v>
      </c>
      <c r="E115" s="56">
        <v>9</v>
      </c>
      <c r="F115" s="56">
        <v>13</v>
      </c>
      <c r="G115" s="56">
        <v>7</v>
      </c>
      <c r="H115" s="56">
        <v>14</v>
      </c>
      <c r="I115" s="56">
        <v>23</v>
      </c>
      <c r="J115" s="56">
        <v>61</v>
      </c>
      <c r="K115" s="56">
        <v>16</v>
      </c>
      <c r="L115" s="56">
        <v>18</v>
      </c>
      <c r="M115" s="56">
        <v>18</v>
      </c>
      <c r="N115" s="56">
        <v>20</v>
      </c>
      <c r="O115" s="56">
        <v>29</v>
      </c>
      <c r="P115" s="56">
        <v>32</v>
      </c>
      <c r="Q115" s="56">
        <v>56</v>
      </c>
      <c r="R115" s="56">
        <v>20</v>
      </c>
      <c r="S115" s="56">
        <v>16</v>
      </c>
      <c r="T115" s="56">
        <v>18</v>
      </c>
      <c r="U115" s="56">
        <v>19</v>
      </c>
      <c r="V115" s="56">
        <v>24</v>
      </c>
      <c r="W115" s="56">
        <v>26</v>
      </c>
      <c r="X115" s="56">
        <v>55</v>
      </c>
      <c r="Y115" s="56">
        <v>27</v>
      </c>
      <c r="Z115" s="56">
        <v>18</v>
      </c>
      <c r="AA115" s="56">
        <v>22</v>
      </c>
      <c r="AB115" s="56">
        <v>21</v>
      </c>
      <c r="AC115" s="56">
        <v>23</v>
      </c>
      <c r="AD115" s="56">
        <v>29</v>
      </c>
      <c r="AE115" s="56">
        <v>90</v>
      </c>
      <c r="AF115" s="56">
        <v>26</v>
      </c>
      <c r="AG115" s="63">
        <f>SUM(B115:AF115)</f>
        <v>811</v>
      </c>
      <c r="AH115" s="63"/>
      <c r="AI115" s="63">
        <f>AG115</f>
        <v>811</v>
      </c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2"/>
      <c r="BW115" s="122"/>
      <c r="BX115" s="123"/>
    </row>
    <row r="116" spans="1:76" ht="21">
      <c r="A116" s="55" t="s">
        <v>21</v>
      </c>
      <c r="B116" s="56">
        <v>13</v>
      </c>
      <c r="C116" s="56">
        <v>15</v>
      </c>
      <c r="D116" s="56">
        <v>6</v>
      </c>
      <c r="E116" s="56">
        <v>4</v>
      </c>
      <c r="F116" s="56">
        <v>6</v>
      </c>
      <c r="G116" s="56">
        <v>3</v>
      </c>
      <c r="H116" s="56">
        <v>5</v>
      </c>
      <c r="I116" s="56">
        <v>10</v>
      </c>
      <c r="J116" s="56">
        <v>32</v>
      </c>
      <c r="K116" s="56">
        <v>7</v>
      </c>
      <c r="L116" s="56">
        <v>5</v>
      </c>
      <c r="M116" s="56">
        <v>12</v>
      </c>
      <c r="N116" s="56">
        <v>9</v>
      </c>
      <c r="O116" s="56">
        <v>15</v>
      </c>
      <c r="P116" s="56">
        <v>20</v>
      </c>
      <c r="Q116" s="56">
        <v>32</v>
      </c>
      <c r="R116" s="56">
        <v>5</v>
      </c>
      <c r="S116" s="56">
        <v>11</v>
      </c>
      <c r="T116" s="56">
        <v>7</v>
      </c>
      <c r="U116" s="56">
        <v>9</v>
      </c>
      <c r="V116" s="56">
        <v>12</v>
      </c>
      <c r="W116" s="56">
        <v>14</v>
      </c>
      <c r="X116" s="56">
        <v>29</v>
      </c>
      <c r="Y116" s="56">
        <v>14</v>
      </c>
      <c r="Z116" s="56">
        <v>6</v>
      </c>
      <c r="AA116" s="56">
        <v>10</v>
      </c>
      <c r="AB116" s="56">
        <v>11</v>
      </c>
      <c r="AC116" s="56">
        <v>14</v>
      </c>
      <c r="AD116" s="56">
        <v>18</v>
      </c>
      <c r="AE116" s="56">
        <v>39</v>
      </c>
      <c r="AF116" s="56">
        <v>12</v>
      </c>
      <c r="AG116" s="63">
        <f t="shared" ref="AG116:AG123" si="41">SUM(B116:AF116)</f>
        <v>405</v>
      </c>
      <c r="AH116" s="63"/>
      <c r="AI116" s="63">
        <f>AG116+AH118+AH119+AH120</f>
        <v>405</v>
      </c>
      <c r="BF116"/>
      <c r="BG116"/>
      <c r="BH116"/>
      <c r="BI116"/>
    </row>
    <row r="117" spans="1:76" ht="21">
      <c r="A117" s="55" t="s">
        <v>22</v>
      </c>
      <c r="B117" s="125">
        <v>13</v>
      </c>
      <c r="C117" s="125">
        <v>14</v>
      </c>
      <c r="D117" s="125">
        <v>6</v>
      </c>
      <c r="E117" s="125">
        <v>2</v>
      </c>
      <c r="F117" s="125">
        <v>4</v>
      </c>
      <c r="G117" s="125">
        <v>3</v>
      </c>
      <c r="H117" s="125">
        <v>5</v>
      </c>
      <c r="I117" s="125">
        <v>10</v>
      </c>
      <c r="J117" s="125">
        <v>31</v>
      </c>
      <c r="K117" s="125">
        <v>6</v>
      </c>
      <c r="L117" s="125">
        <v>4</v>
      </c>
      <c r="M117" s="125">
        <v>10</v>
      </c>
      <c r="N117" s="125">
        <v>9</v>
      </c>
      <c r="O117" s="125">
        <v>14</v>
      </c>
      <c r="P117" s="125">
        <v>19</v>
      </c>
      <c r="Q117" s="125">
        <v>27</v>
      </c>
      <c r="R117" s="125">
        <v>4</v>
      </c>
      <c r="S117" s="125">
        <v>11</v>
      </c>
      <c r="T117" s="125">
        <v>5</v>
      </c>
      <c r="U117" s="125">
        <v>8</v>
      </c>
      <c r="V117" s="125">
        <v>11</v>
      </c>
      <c r="W117" s="125">
        <v>14</v>
      </c>
      <c r="X117" s="125">
        <v>26</v>
      </c>
      <c r="Y117" s="125">
        <v>12</v>
      </c>
      <c r="Z117" s="125">
        <v>5</v>
      </c>
      <c r="AA117" s="125">
        <v>10</v>
      </c>
      <c r="AB117" s="125">
        <v>10</v>
      </c>
      <c r="AC117" s="125">
        <v>13</v>
      </c>
      <c r="AD117" s="125">
        <v>14</v>
      </c>
      <c r="AE117" s="125">
        <v>28</v>
      </c>
      <c r="AF117" s="125">
        <v>11</v>
      </c>
      <c r="AG117" s="63">
        <f t="shared" si="41"/>
        <v>359</v>
      </c>
      <c r="AH117" s="63"/>
      <c r="AI117" s="63">
        <f>AG117+AH118+AH119+AH120</f>
        <v>359</v>
      </c>
    </row>
    <row r="118" spans="1:76" ht="21">
      <c r="A118" s="55" t="s">
        <v>23</v>
      </c>
      <c r="B118" s="125">
        <v>0</v>
      </c>
      <c r="C118" s="125">
        <v>0</v>
      </c>
      <c r="D118" s="125">
        <v>0</v>
      </c>
      <c r="E118" s="125">
        <v>0</v>
      </c>
      <c r="F118" s="125">
        <v>0</v>
      </c>
      <c r="G118" s="125">
        <v>0</v>
      </c>
      <c r="H118" s="125">
        <v>0</v>
      </c>
      <c r="I118" s="125">
        <v>0</v>
      </c>
      <c r="J118" s="125">
        <v>0</v>
      </c>
      <c r="K118" s="125">
        <v>0</v>
      </c>
      <c r="L118" s="125">
        <v>0</v>
      </c>
      <c r="M118" s="125">
        <v>0</v>
      </c>
      <c r="N118" s="125">
        <v>0</v>
      </c>
      <c r="O118" s="125">
        <v>0</v>
      </c>
      <c r="P118" s="125">
        <v>0</v>
      </c>
      <c r="Q118" s="125">
        <v>1</v>
      </c>
      <c r="R118" s="125">
        <v>0</v>
      </c>
      <c r="S118" s="125">
        <v>0</v>
      </c>
      <c r="T118" s="125">
        <v>0</v>
      </c>
      <c r="U118" s="125">
        <v>0</v>
      </c>
      <c r="V118" s="125">
        <v>0</v>
      </c>
      <c r="W118" s="125">
        <v>0</v>
      </c>
      <c r="X118" s="125">
        <v>0</v>
      </c>
      <c r="Y118" s="125">
        <v>0</v>
      </c>
      <c r="Z118" s="125">
        <v>1</v>
      </c>
      <c r="AA118" s="125">
        <v>0</v>
      </c>
      <c r="AB118" s="125">
        <v>0</v>
      </c>
      <c r="AC118" s="125">
        <v>0</v>
      </c>
      <c r="AD118" s="125">
        <v>0</v>
      </c>
      <c r="AE118" s="125">
        <v>0</v>
      </c>
      <c r="AF118" s="125">
        <v>0</v>
      </c>
      <c r="AG118" s="63">
        <f t="shared" si="41"/>
        <v>2</v>
      </c>
      <c r="AH118" s="63"/>
      <c r="AI118" s="63">
        <f t="shared" ref="AI118:AI123" si="42">AG118-AH118</f>
        <v>2</v>
      </c>
    </row>
    <row r="119" spans="1:76" ht="21">
      <c r="A119" s="55" t="s">
        <v>24</v>
      </c>
      <c r="B119" s="125">
        <v>0</v>
      </c>
      <c r="C119" s="125">
        <v>0</v>
      </c>
      <c r="D119" s="125">
        <v>0</v>
      </c>
      <c r="E119" s="125">
        <v>0</v>
      </c>
      <c r="F119" s="125">
        <v>0</v>
      </c>
      <c r="G119" s="125">
        <v>0</v>
      </c>
      <c r="H119" s="125">
        <v>0</v>
      </c>
      <c r="I119" s="125">
        <v>0</v>
      </c>
      <c r="J119" s="125">
        <v>0</v>
      </c>
      <c r="K119" s="125">
        <v>0</v>
      </c>
      <c r="L119" s="125">
        <v>0</v>
      </c>
      <c r="M119" s="125">
        <v>0</v>
      </c>
      <c r="N119" s="125">
        <v>0</v>
      </c>
      <c r="O119" s="125">
        <v>0</v>
      </c>
      <c r="P119" s="125">
        <v>0</v>
      </c>
      <c r="Q119" s="125">
        <v>0</v>
      </c>
      <c r="R119" s="125">
        <v>0</v>
      </c>
      <c r="S119" s="125">
        <v>0</v>
      </c>
      <c r="T119" s="125">
        <v>0</v>
      </c>
      <c r="U119" s="125">
        <v>0</v>
      </c>
      <c r="V119" s="125">
        <v>0</v>
      </c>
      <c r="W119" s="125">
        <v>0</v>
      </c>
      <c r="X119" s="125">
        <v>0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125">
        <v>0</v>
      </c>
      <c r="AG119" s="63">
        <f t="shared" si="41"/>
        <v>0</v>
      </c>
      <c r="AH119" s="63"/>
      <c r="AI119" s="63">
        <f t="shared" si="42"/>
        <v>0</v>
      </c>
    </row>
    <row r="120" spans="1:76" ht="21">
      <c r="A120" s="55" t="s">
        <v>26</v>
      </c>
      <c r="B120" s="125">
        <v>0</v>
      </c>
      <c r="C120" s="125">
        <v>1</v>
      </c>
      <c r="D120" s="125">
        <v>0</v>
      </c>
      <c r="E120" s="125">
        <v>2</v>
      </c>
      <c r="F120" s="125">
        <v>2</v>
      </c>
      <c r="G120" s="125">
        <v>0</v>
      </c>
      <c r="H120" s="125">
        <v>0</v>
      </c>
      <c r="I120" s="125">
        <v>0</v>
      </c>
      <c r="J120" s="125">
        <v>1</v>
      </c>
      <c r="K120" s="125">
        <v>1</v>
      </c>
      <c r="L120" s="125">
        <v>1</v>
      </c>
      <c r="M120" s="125">
        <v>2</v>
      </c>
      <c r="N120" s="125">
        <v>0</v>
      </c>
      <c r="O120" s="125">
        <v>1</v>
      </c>
      <c r="P120" s="125">
        <v>1</v>
      </c>
      <c r="Q120" s="125">
        <v>4</v>
      </c>
      <c r="R120" s="125">
        <v>1</v>
      </c>
      <c r="S120" s="125">
        <v>0</v>
      </c>
      <c r="T120" s="125">
        <v>2</v>
      </c>
      <c r="U120" s="125">
        <v>1</v>
      </c>
      <c r="V120" s="125">
        <v>1</v>
      </c>
      <c r="W120" s="125">
        <v>0</v>
      </c>
      <c r="X120" s="125">
        <v>3</v>
      </c>
      <c r="Y120" s="125">
        <v>2</v>
      </c>
      <c r="Z120" s="125">
        <v>0</v>
      </c>
      <c r="AA120" s="125">
        <v>0</v>
      </c>
      <c r="AB120" s="125">
        <v>1</v>
      </c>
      <c r="AC120" s="125">
        <v>1</v>
      </c>
      <c r="AD120" s="125">
        <v>4</v>
      </c>
      <c r="AE120" s="125">
        <v>11</v>
      </c>
      <c r="AF120" s="125">
        <v>1</v>
      </c>
      <c r="AG120" s="63">
        <f t="shared" si="41"/>
        <v>44</v>
      </c>
      <c r="AH120" s="63"/>
      <c r="AI120" s="63">
        <f t="shared" si="42"/>
        <v>44</v>
      </c>
    </row>
    <row r="121" spans="1:76" ht="21">
      <c r="A121" s="55" t="s">
        <v>28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63">
        <f t="shared" si="41"/>
        <v>0</v>
      </c>
      <c r="AH121" s="70"/>
      <c r="AI121" s="63">
        <f t="shared" si="42"/>
        <v>0</v>
      </c>
    </row>
    <row r="122" spans="1:76" ht="21">
      <c r="A122" s="55" t="s">
        <v>29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63">
        <f t="shared" si="41"/>
        <v>0</v>
      </c>
      <c r="AH122" s="71"/>
      <c r="AI122" s="63">
        <f t="shared" si="42"/>
        <v>0</v>
      </c>
    </row>
    <row r="123" spans="1:76" ht="21">
      <c r="A123" s="56" t="s">
        <v>31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63">
        <f t="shared" si="41"/>
        <v>0</v>
      </c>
      <c r="AH123" s="63"/>
      <c r="AI123" s="63">
        <f t="shared" si="42"/>
        <v>0</v>
      </c>
      <c r="AK123">
        <v>16</v>
      </c>
    </row>
  </sheetData>
  <mergeCells count="19">
    <mergeCell ref="A113:AG113"/>
    <mergeCell ref="A45:AG45"/>
    <mergeCell ref="A56:AG56"/>
    <mergeCell ref="A67:AG67"/>
    <mergeCell ref="A78:AG78"/>
    <mergeCell ref="A89:AG89"/>
    <mergeCell ref="A100:AG100"/>
    <mergeCell ref="A34:AG34"/>
    <mergeCell ref="A1:AG1"/>
    <mergeCell ref="AK1:AW2"/>
    <mergeCell ref="AY1:BC2"/>
    <mergeCell ref="BF1:BI2"/>
    <mergeCell ref="A12:AG12"/>
    <mergeCell ref="AK14:AW15"/>
    <mergeCell ref="AK16:AW17"/>
    <mergeCell ref="A23:AG23"/>
    <mergeCell ref="AZ27:BA27"/>
    <mergeCell ref="AZ28:BA28"/>
    <mergeCell ref="AZ29:BA29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8B53-2054-4752-AEFF-511B3D502595}">
  <dimension ref="A1:BX123"/>
  <sheetViews>
    <sheetView showGridLines="0" zoomScale="50" zoomScaleNormal="50" workbookViewId="0">
      <pane xSplit="1" topLeftCell="AD1" activePane="topRight" state="frozen"/>
      <selection pane="topRight" activeCell="AM6" sqref="AM6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8" width="13" style="3" customWidth="1"/>
    <col min="39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6" width="24.28515625" style="3" customWidth="1"/>
    <col min="47" max="47" width="30.42578125" style="3" customWidth="1"/>
    <col min="48" max="48" width="21.140625" style="3" customWidth="1"/>
    <col min="49" max="49" width="10.5703125" style="3" customWidth="1"/>
    <col min="51" max="51" width="33.5703125" customWidth="1"/>
    <col min="52" max="53" width="28.7109375" customWidth="1"/>
    <col min="54" max="54" width="29.85546875" customWidth="1"/>
    <col min="55" max="55" width="17" customWidth="1"/>
    <col min="58" max="58" width="14.140625" style="2" customWidth="1"/>
    <col min="59" max="59" width="17.7109375" style="2" customWidth="1"/>
    <col min="60" max="60" width="25.42578125" style="2" customWidth="1"/>
    <col min="61" max="61" width="26.5703125" style="2" customWidth="1"/>
  </cols>
  <sheetData>
    <row r="1" spans="1:61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454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3"/>
      <c r="AY1" s="257" t="s">
        <v>1</v>
      </c>
      <c r="AZ1" s="258"/>
      <c r="BA1" s="258"/>
      <c r="BB1" s="258"/>
      <c r="BC1" s="259"/>
      <c r="BF1" s="263"/>
      <c r="BG1" s="263"/>
      <c r="BH1" s="263"/>
      <c r="BI1" s="263"/>
    </row>
    <row r="2" spans="1:61" s="1" customFormat="1" ht="23.25" customHeight="1" thickBot="1">
      <c r="A2" s="53"/>
      <c r="B2" s="54">
        <v>46174</v>
      </c>
      <c r="C2" s="54">
        <v>46175</v>
      </c>
      <c r="D2" s="54">
        <v>46176</v>
      </c>
      <c r="E2" s="54">
        <v>46177</v>
      </c>
      <c r="F2" s="54">
        <v>46178</v>
      </c>
      <c r="G2" s="54">
        <v>46179</v>
      </c>
      <c r="H2" s="54">
        <v>46180</v>
      </c>
      <c r="I2" s="54">
        <v>46181</v>
      </c>
      <c r="J2" s="54">
        <v>46182</v>
      </c>
      <c r="K2" s="54">
        <v>46183</v>
      </c>
      <c r="L2" s="54">
        <v>46184</v>
      </c>
      <c r="M2" s="54">
        <v>46185</v>
      </c>
      <c r="N2" s="54">
        <v>46186</v>
      </c>
      <c r="O2" s="54">
        <v>46187</v>
      </c>
      <c r="P2" s="54">
        <v>46188</v>
      </c>
      <c r="Q2" s="54">
        <v>46189</v>
      </c>
      <c r="R2" s="54">
        <v>46190</v>
      </c>
      <c r="S2" s="54">
        <v>46191</v>
      </c>
      <c r="T2" s="54">
        <v>46192</v>
      </c>
      <c r="U2" s="54">
        <v>46193</v>
      </c>
      <c r="V2" s="54">
        <v>46194</v>
      </c>
      <c r="W2" s="54">
        <v>46195</v>
      </c>
      <c r="X2" s="54">
        <v>46196</v>
      </c>
      <c r="Y2" s="54">
        <v>46197</v>
      </c>
      <c r="Z2" s="54">
        <v>46198</v>
      </c>
      <c r="AA2" s="54">
        <v>46199</v>
      </c>
      <c r="AB2" s="54">
        <v>46200</v>
      </c>
      <c r="AC2" s="54">
        <v>46201</v>
      </c>
      <c r="AD2" s="54">
        <v>46202</v>
      </c>
      <c r="AE2" s="54">
        <v>46203</v>
      </c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Y2" s="260"/>
      <c r="AZ2" s="261"/>
      <c r="BA2" s="261"/>
      <c r="BB2" s="261"/>
      <c r="BC2" s="262"/>
      <c r="BF2" s="263"/>
      <c r="BG2" s="263"/>
      <c r="BH2" s="263"/>
      <c r="BI2" s="263"/>
    </row>
    <row r="3" spans="1:61" ht="21.75" thickBot="1">
      <c r="A3" s="55" t="s">
        <v>5</v>
      </c>
      <c r="B3" s="56">
        <v>28</v>
      </c>
      <c r="C3" s="56">
        <v>21</v>
      </c>
      <c r="D3" s="56">
        <v>16</v>
      </c>
      <c r="E3" s="56">
        <v>17</v>
      </c>
      <c r="F3" s="56">
        <v>36</v>
      </c>
      <c r="G3" s="56">
        <v>72</v>
      </c>
      <c r="H3" s="56">
        <v>20</v>
      </c>
      <c r="I3" s="56">
        <v>34</v>
      </c>
      <c r="J3" s="56">
        <v>35</v>
      </c>
      <c r="K3" s="56">
        <v>19</v>
      </c>
      <c r="L3" s="56">
        <v>22</v>
      </c>
      <c r="M3" s="56">
        <v>32</v>
      </c>
      <c r="N3" s="56">
        <v>45</v>
      </c>
      <c r="O3" s="56">
        <v>41</v>
      </c>
      <c r="P3" s="56">
        <v>18</v>
      </c>
      <c r="Q3" s="56">
        <v>28</v>
      </c>
      <c r="R3" s="56">
        <v>34</v>
      </c>
      <c r="S3" s="56">
        <v>30</v>
      </c>
      <c r="T3" s="56">
        <v>40</v>
      </c>
      <c r="U3" s="56">
        <v>58</v>
      </c>
      <c r="V3" s="56">
        <v>25</v>
      </c>
      <c r="W3" s="56">
        <v>30</v>
      </c>
      <c r="X3" s="56">
        <v>23</v>
      </c>
      <c r="Y3" s="56">
        <v>23</v>
      </c>
      <c r="Z3" s="56">
        <v>31</v>
      </c>
      <c r="AA3" s="56">
        <v>28</v>
      </c>
      <c r="AB3" s="56">
        <v>46</v>
      </c>
      <c r="AC3" s="56">
        <v>34</v>
      </c>
      <c r="AD3" s="56">
        <v>38</v>
      </c>
      <c r="AE3" s="56">
        <v>21</v>
      </c>
      <c r="AF3" s="56"/>
      <c r="AG3" s="63">
        <f>SUM(B3:AF3)</f>
        <v>945</v>
      </c>
      <c r="AH3" s="63"/>
      <c r="AI3" s="63">
        <f>AG3</f>
        <v>945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305</v>
      </c>
      <c r="AU3" s="65" t="s">
        <v>14</v>
      </c>
      <c r="AV3" s="65" t="s">
        <v>15</v>
      </c>
      <c r="AW3" s="84" t="s">
        <v>2</v>
      </c>
      <c r="AY3" s="85" t="s">
        <v>16</v>
      </c>
      <c r="AZ3" s="86" t="s">
        <v>17</v>
      </c>
      <c r="BA3" s="86" t="s">
        <v>18</v>
      </c>
      <c r="BB3" s="86" t="s">
        <v>19</v>
      </c>
      <c r="BC3" s="86" t="s">
        <v>20</v>
      </c>
      <c r="BF3" s="110"/>
      <c r="BG3" s="110"/>
      <c r="BH3" s="111"/>
      <c r="BI3" s="110"/>
    </row>
    <row r="4" spans="1:61" ht="21">
      <c r="A4" s="55" t="s">
        <v>21</v>
      </c>
      <c r="B4" s="56">
        <v>17</v>
      </c>
      <c r="C4" s="56">
        <v>15</v>
      </c>
      <c r="D4" s="56">
        <v>10</v>
      </c>
      <c r="E4" s="56">
        <v>13</v>
      </c>
      <c r="F4" s="56">
        <v>20</v>
      </c>
      <c r="G4" s="56">
        <v>43</v>
      </c>
      <c r="H4" s="56">
        <v>10</v>
      </c>
      <c r="I4" s="56">
        <v>24</v>
      </c>
      <c r="J4" s="56">
        <v>18</v>
      </c>
      <c r="K4" s="56">
        <v>13</v>
      </c>
      <c r="L4" s="56">
        <v>11</v>
      </c>
      <c r="M4" s="56">
        <v>19</v>
      </c>
      <c r="N4" s="56">
        <v>30</v>
      </c>
      <c r="O4" s="56">
        <v>21</v>
      </c>
      <c r="P4" s="56">
        <v>8</v>
      </c>
      <c r="Q4" s="56">
        <v>17</v>
      </c>
      <c r="R4" s="56">
        <v>21</v>
      </c>
      <c r="S4" s="56">
        <v>16</v>
      </c>
      <c r="T4" s="56">
        <v>20</v>
      </c>
      <c r="U4" s="56">
        <v>34</v>
      </c>
      <c r="V4" s="56">
        <v>16</v>
      </c>
      <c r="W4" s="56">
        <v>14</v>
      </c>
      <c r="X4" s="56">
        <v>14</v>
      </c>
      <c r="Y4" s="56">
        <v>14</v>
      </c>
      <c r="Z4" s="56">
        <v>14</v>
      </c>
      <c r="AA4" s="56">
        <v>19</v>
      </c>
      <c r="AB4" s="56">
        <v>28</v>
      </c>
      <c r="AC4" s="56">
        <v>26</v>
      </c>
      <c r="AD4" s="56">
        <v>23</v>
      </c>
      <c r="AE4" s="56">
        <v>11</v>
      </c>
      <c r="AF4" s="56"/>
      <c r="AG4" s="63">
        <f t="shared" ref="AG4:AG11" si="0">SUM(B4:AF4)</f>
        <v>559</v>
      </c>
      <c r="AH4" s="63"/>
      <c r="AI4" s="63">
        <f>AG4+AH6+AH7+AH8</f>
        <v>559</v>
      </c>
      <c r="AK4" s="66" t="s">
        <v>5</v>
      </c>
      <c r="AL4" s="67">
        <f>AI3</f>
        <v>945</v>
      </c>
      <c r="AM4" s="67">
        <f t="shared" ref="AM4:AM12" si="1">AI14</f>
        <v>1158</v>
      </c>
      <c r="AN4" s="67">
        <f t="shared" ref="AN4:AN12" si="2">AI25</f>
        <v>839</v>
      </c>
      <c r="AO4" s="67">
        <f t="shared" ref="AO4:AO12" si="3">AI36</f>
        <v>552</v>
      </c>
      <c r="AP4" s="67">
        <f t="shared" ref="AP4:AP12" si="4">AI47</f>
        <v>515</v>
      </c>
      <c r="AQ4" s="67">
        <f t="shared" ref="AQ4:AQ12" si="5">AI58</f>
        <v>1033</v>
      </c>
      <c r="AR4" s="67">
        <f t="shared" ref="AR4:AR12" si="6">AI69</f>
        <v>846</v>
      </c>
      <c r="AS4" s="67">
        <f t="shared" ref="AS4:AS12" si="7">AI80</f>
        <v>1042</v>
      </c>
      <c r="AT4" s="67">
        <f t="shared" ref="AT4:AT12" si="8">AI115</f>
        <v>749</v>
      </c>
      <c r="AU4" s="67">
        <f t="shared" ref="AU4:AU12" si="9">AI91</f>
        <v>0</v>
      </c>
      <c r="AV4" s="67">
        <f t="shared" ref="AV4:AV12" si="10">AI102</f>
        <v>0</v>
      </c>
      <c r="AW4" s="87">
        <f t="shared" ref="AW4:AW12" si="11">SUM(AL4:AV4)</f>
        <v>7679</v>
      </c>
      <c r="AY4" s="88">
        <v>1</v>
      </c>
      <c r="AZ4" s="88" t="s">
        <v>7</v>
      </c>
      <c r="BA4" s="88">
        <f>AL5</f>
        <v>559</v>
      </c>
      <c r="BB4" s="88">
        <f>AL7+AL9</f>
        <v>21</v>
      </c>
      <c r="BC4" s="89">
        <f>BB4/BA4</f>
        <v>3.7567084078711989E-2</v>
      </c>
      <c r="BF4" s="112"/>
      <c r="BG4" s="112"/>
      <c r="BH4" s="113"/>
      <c r="BI4" s="112"/>
    </row>
    <row r="5" spans="1:61" ht="21">
      <c r="A5" s="55" t="s">
        <v>22</v>
      </c>
      <c r="B5" s="125">
        <v>17</v>
      </c>
      <c r="C5" s="125">
        <v>15</v>
      </c>
      <c r="D5" s="125">
        <v>10</v>
      </c>
      <c r="E5" s="125">
        <v>13</v>
      </c>
      <c r="F5" s="125">
        <v>19</v>
      </c>
      <c r="G5" s="125">
        <v>38</v>
      </c>
      <c r="H5" s="125">
        <v>10</v>
      </c>
      <c r="I5" s="125">
        <v>23</v>
      </c>
      <c r="J5" s="125">
        <v>17</v>
      </c>
      <c r="K5" s="125">
        <v>13</v>
      </c>
      <c r="L5" s="125">
        <v>11</v>
      </c>
      <c r="M5" s="125">
        <v>19</v>
      </c>
      <c r="N5" s="125">
        <v>29</v>
      </c>
      <c r="O5" s="125">
        <v>21</v>
      </c>
      <c r="P5" s="125">
        <v>8</v>
      </c>
      <c r="Q5" s="125">
        <v>16</v>
      </c>
      <c r="R5" s="125">
        <v>21</v>
      </c>
      <c r="S5" s="125">
        <v>16</v>
      </c>
      <c r="T5" s="125">
        <v>19</v>
      </c>
      <c r="U5" s="125">
        <v>32</v>
      </c>
      <c r="V5" s="125">
        <v>16</v>
      </c>
      <c r="W5" s="125">
        <v>13</v>
      </c>
      <c r="X5" s="125">
        <v>14</v>
      </c>
      <c r="Y5" s="125">
        <v>14</v>
      </c>
      <c r="Z5" s="125">
        <v>13</v>
      </c>
      <c r="AA5" s="125">
        <v>18</v>
      </c>
      <c r="AB5" s="125">
        <v>27</v>
      </c>
      <c r="AC5" s="125">
        <v>26</v>
      </c>
      <c r="AD5" s="125">
        <v>19</v>
      </c>
      <c r="AE5" s="125">
        <v>11</v>
      </c>
      <c r="AF5" s="56"/>
      <c r="AG5" s="63">
        <f t="shared" si="0"/>
        <v>538</v>
      </c>
      <c r="AH5" s="63"/>
      <c r="AI5" s="63">
        <f t="shared" ref="AI5:AI11" si="12">AG5-AH5</f>
        <v>538</v>
      </c>
      <c r="AK5" s="66" t="s">
        <v>21</v>
      </c>
      <c r="AL5" s="67">
        <f t="shared" ref="AL5:AL12" si="13">AI4</f>
        <v>559</v>
      </c>
      <c r="AM5" s="67">
        <f t="shared" si="1"/>
        <v>613</v>
      </c>
      <c r="AN5" s="67">
        <f t="shared" si="2"/>
        <v>559</v>
      </c>
      <c r="AO5" s="67">
        <f t="shared" si="3"/>
        <v>381</v>
      </c>
      <c r="AP5" s="67">
        <f t="shared" si="4"/>
        <v>307</v>
      </c>
      <c r="AQ5" s="67">
        <f t="shared" si="5"/>
        <v>517</v>
      </c>
      <c r="AR5" s="67">
        <f t="shared" si="6"/>
        <v>393</v>
      </c>
      <c r="AS5" s="67">
        <f t="shared" si="7"/>
        <v>577</v>
      </c>
      <c r="AT5" s="67">
        <f t="shared" si="8"/>
        <v>366</v>
      </c>
      <c r="AU5" s="67">
        <f t="shared" si="9"/>
        <v>0</v>
      </c>
      <c r="AV5" s="67">
        <f t="shared" si="10"/>
        <v>0</v>
      </c>
      <c r="AW5" s="87">
        <f t="shared" si="11"/>
        <v>4272</v>
      </c>
      <c r="AY5" s="90">
        <v>2</v>
      </c>
      <c r="AZ5" s="90" t="s">
        <v>8</v>
      </c>
      <c r="BA5" s="90">
        <f>AM5</f>
        <v>613</v>
      </c>
      <c r="BB5" s="90">
        <f>AM7+AM9</f>
        <v>18</v>
      </c>
      <c r="BC5" s="89">
        <f t="shared" ref="BC5:BC13" si="14">BB5/BA5</f>
        <v>2.936378466557912E-2</v>
      </c>
      <c r="BF5" s="112"/>
      <c r="BG5" s="112"/>
      <c r="BH5" s="113"/>
      <c r="BI5" s="114"/>
    </row>
    <row r="6" spans="1:61" ht="21">
      <c r="A6" s="55" t="s">
        <v>23</v>
      </c>
      <c r="B6" s="125">
        <v>0</v>
      </c>
      <c r="C6" s="125">
        <v>0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1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1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1</v>
      </c>
      <c r="X6" s="125">
        <v>0</v>
      </c>
      <c r="Y6" s="125">
        <v>0</v>
      </c>
      <c r="Z6" s="125">
        <v>0</v>
      </c>
      <c r="AA6" s="125">
        <v>1</v>
      </c>
      <c r="AB6" s="125">
        <v>0</v>
      </c>
      <c r="AC6" s="125">
        <v>0</v>
      </c>
      <c r="AD6" s="125">
        <v>0</v>
      </c>
      <c r="AE6" s="125">
        <v>0</v>
      </c>
      <c r="AF6" s="56"/>
      <c r="AG6" s="63">
        <f t="shared" si="0"/>
        <v>4</v>
      </c>
      <c r="AH6" s="63"/>
      <c r="AI6" s="63">
        <f t="shared" si="12"/>
        <v>4</v>
      </c>
      <c r="AK6" s="68" t="s">
        <v>22</v>
      </c>
      <c r="AL6" s="69">
        <f t="shared" si="13"/>
        <v>538</v>
      </c>
      <c r="AM6" s="69">
        <f t="shared" si="1"/>
        <v>595</v>
      </c>
      <c r="AN6" s="69">
        <f t="shared" si="2"/>
        <v>526</v>
      </c>
      <c r="AO6" s="69">
        <f t="shared" si="3"/>
        <v>351</v>
      </c>
      <c r="AP6" s="69">
        <f t="shared" si="4"/>
        <v>287</v>
      </c>
      <c r="AQ6" s="69">
        <f t="shared" si="5"/>
        <v>479</v>
      </c>
      <c r="AR6" s="69">
        <f t="shared" si="6"/>
        <v>357</v>
      </c>
      <c r="AS6" s="69">
        <f t="shared" si="7"/>
        <v>491</v>
      </c>
      <c r="AT6" s="69">
        <f t="shared" si="8"/>
        <v>321</v>
      </c>
      <c r="AU6" s="69">
        <f t="shared" si="9"/>
        <v>0</v>
      </c>
      <c r="AV6" s="69">
        <f t="shared" si="10"/>
        <v>0</v>
      </c>
      <c r="AW6" s="91">
        <f t="shared" si="11"/>
        <v>3945</v>
      </c>
      <c r="AY6" s="90">
        <v>3</v>
      </c>
      <c r="AZ6" s="90" t="s">
        <v>9</v>
      </c>
      <c r="BA6" s="90">
        <f>AN5</f>
        <v>559</v>
      </c>
      <c r="BB6" s="90">
        <f>AN7+AN9</f>
        <v>31</v>
      </c>
      <c r="BC6" s="89">
        <f t="shared" si="14"/>
        <v>5.5456171735241505E-2</v>
      </c>
      <c r="BF6" s="112"/>
      <c r="BG6" s="112"/>
      <c r="BH6" s="113"/>
      <c r="BI6" s="112"/>
    </row>
    <row r="7" spans="1:61" ht="21">
      <c r="A7" s="55" t="s">
        <v>24</v>
      </c>
      <c r="B7" s="125">
        <v>0</v>
      </c>
      <c r="C7" s="125">
        <v>0</v>
      </c>
      <c r="D7" s="125">
        <v>0</v>
      </c>
      <c r="E7" s="125">
        <v>0</v>
      </c>
      <c r="F7" s="125">
        <v>0</v>
      </c>
      <c r="G7" s="125">
        <v>0</v>
      </c>
      <c r="H7" s="125">
        <v>0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56"/>
      <c r="AG7" s="63">
        <f t="shared" si="0"/>
        <v>0</v>
      </c>
      <c r="AH7" s="63"/>
      <c r="AI7" s="63">
        <f t="shared" si="12"/>
        <v>0</v>
      </c>
      <c r="AK7" s="68" t="s">
        <v>23</v>
      </c>
      <c r="AL7" s="69">
        <f t="shared" si="13"/>
        <v>4</v>
      </c>
      <c r="AM7" s="69">
        <f t="shared" si="1"/>
        <v>3</v>
      </c>
      <c r="AN7" s="69">
        <f t="shared" si="2"/>
        <v>14</v>
      </c>
      <c r="AO7" s="69">
        <f t="shared" si="3"/>
        <v>8</v>
      </c>
      <c r="AP7" s="69">
        <f t="shared" si="4"/>
        <v>5</v>
      </c>
      <c r="AQ7" s="69">
        <f t="shared" si="5"/>
        <v>6</v>
      </c>
      <c r="AR7" s="69">
        <f t="shared" si="6"/>
        <v>2</v>
      </c>
      <c r="AS7" s="69">
        <f t="shared" si="7"/>
        <v>9</v>
      </c>
      <c r="AT7" s="69">
        <f t="shared" si="8"/>
        <v>10</v>
      </c>
      <c r="AU7" s="69">
        <f t="shared" si="9"/>
        <v>0</v>
      </c>
      <c r="AV7" s="69">
        <f t="shared" si="10"/>
        <v>0</v>
      </c>
      <c r="AW7" s="91">
        <f t="shared" si="11"/>
        <v>61</v>
      </c>
      <c r="AY7" s="90">
        <v>4</v>
      </c>
      <c r="AZ7" s="90" t="s">
        <v>25</v>
      </c>
      <c r="BA7" s="90">
        <f>AO5</f>
        <v>381</v>
      </c>
      <c r="BB7" s="90">
        <f>AO7+AO9</f>
        <v>9</v>
      </c>
      <c r="BC7" s="89">
        <f t="shared" si="14"/>
        <v>2.3622047244094488E-2</v>
      </c>
      <c r="BF7" s="112"/>
      <c r="BG7" s="112"/>
      <c r="BH7" s="113"/>
      <c r="BI7" s="114"/>
    </row>
    <row r="8" spans="1:61" ht="21">
      <c r="A8" s="55" t="s">
        <v>26</v>
      </c>
      <c r="B8" s="125">
        <v>0</v>
      </c>
      <c r="C8" s="125">
        <v>0</v>
      </c>
      <c r="D8" s="125">
        <v>0</v>
      </c>
      <c r="E8" s="125">
        <v>0</v>
      </c>
      <c r="F8" s="125">
        <v>1</v>
      </c>
      <c r="G8" s="125">
        <v>5</v>
      </c>
      <c r="H8" s="125">
        <v>0</v>
      </c>
      <c r="I8" s="125">
        <v>1</v>
      </c>
      <c r="J8" s="125">
        <v>0</v>
      </c>
      <c r="K8" s="125">
        <v>0</v>
      </c>
      <c r="L8" s="125">
        <v>0</v>
      </c>
      <c r="M8" s="125">
        <v>0</v>
      </c>
      <c r="N8" s="125">
        <v>1</v>
      </c>
      <c r="O8" s="125">
        <v>0</v>
      </c>
      <c r="P8" s="125">
        <v>0</v>
      </c>
      <c r="Q8" s="125">
        <v>0</v>
      </c>
      <c r="R8" s="125">
        <v>0</v>
      </c>
      <c r="S8" s="125">
        <v>0</v>
      </c>
      <c r="T8" s="125">
        <v>1</v>
      </c>
      <c r="U8" s="125">
        <v>2</v>
      </c>
      <c r="V8" s="125">
        <v>0</v>
      </c>
      <c r="W8" s="125">
        <v>0</v>
      </c>
      <c r="X8" s="125">
        <v>0</v>
      </c>
      <c r="Y8" s="125">
        <v>0</v>
      </c>
      <c r="Z8" s="125">
        <v>1</v>
      </c>
      <c r="AA8" s="125">
        <v>0</v>
      </c>
      <c r="AB8" s="125">
        <v>1</v>
      </c>
      <c r="AC8" s="125">
        <v>0</v>
      </c>
      <c r="AD8" s="125">
        <v>4</v>
      </c>
      <c r="AE8" s="125">
        <v>0</v>
      </c>
      <c r="AF8" s="56"/>
      <c r="AG8" s="63">
        <f t="shared" si="0"/>
        <v>17</v>
      </c>
      <c r="AH8" s="63"/>
      <c r="AI8" s="63">
        <f t="shared" si="12"/>
        <v>17</v>
      </c>
      <c r="AJ8" t="s">
        <v>27</v>
      </c>
      <c r="AK8" s="68" t="s">
        <v>24</v>
      </c>
      <c r="AL8" s="69">
        <f t="shared" si="13"/>
        <v>0</v>
      </c>
      <c r="AM8" s="69">
        <f t="shared" si="1"/>
        <v>0</v>
      </c>
      <c r="AN8" s="69">
        <f t="shared" si="2"/>
        <v>2</v>
      </c>
      <c r="AO8" s="69">
        <f t="shared" si="3"/>
        <v>21</v>
      </c>
      <c r="AP8" s="69">
        <f t="shared" si="4"/>
        <v>1</v>
      </c>
      <c r="AQ8" s="69">
        <f t="shared" si="5"/>
        <v>2</v>
      </c>
      <c r="AR8" s="69">
        <f t="shared" si="6"/>
        <v>0</v>
      </c>
      <c r="AS8" s="69">
        <f t="shared" si="7"/>
        <v>1</v>
      </c>
      <c r="AT8" s="69">
        <f t="shared" si="8"/>
        <v>2</v>
      </c>
      <c r="AU8" s="69">
        <f t="shared" si="9"/>
        <v>0</v>
      </c>
      <c r="AV8" s="69">
        <f t="shared" si="10"/>
        <v>0</v>
      </c>
      <c r="AW8" s="91">
        <f t="shared" si="11"/>
        <v>29</v>
      </c>
      <c r="AY8" s="90">
        <v>5</v>
      </c>
      <c r="AZ8" s="90" t="s">
        <v>11</v>
      </c>
      <c r="BA8" s="90">
        <f>AP5</f>
        <v>307</v>
      </c>
      <c r="BB8" s="90">
        <f>AP7+AP9</f>
        <v>19</v>
      </c>
      <c r="BC8" s="89">
        <f t="shared" si="14"/>
        <v>6.1889250814332247E-2</v>
      </c>
      <c r="BF8" s="112"/>
      <c r="BG8" s="112"/>
      <c r="BH8" s="113"/>
      <c r="BI8" s="114"/>
    </row>
    <row r="9" spans="1:61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2"/>
        <v>0</v>
      </c>
      <c r="AK9" s="68" t="s">
        <v>26</v>
      </c>
      <c r="AL9" s="69">
        <f t="shared" si="13"/>
        <v>17</v>
      </c>
      <c r="AM9" s="69">
        <f t="shared" si="1"/>
        <v>15</v>
      </c>
      <c r="AN9" s="69">
        <f t="shared" si="2"/>
        <v>17</v>
      </c>
      <c r="AO9" s="69">
        <f t="shared" si="3"/>
        <v>1</v>
      </c>
      <c r="AP9" s="69">
        <f t="shared" si="4"/>
        <v>14</v>
      </c>
      <c r="AQ9" s="69">
        <f t="shared" si="5"/>
        <v>32</v>
      </c>
      <c r="AR9" s="69">
        <f t="shared" si="6"/>
        <v>34</v>
      </c>
      <c r="AS9" s="69">
        <f t="shared" si="7"/>
        <v>76</v>
      </c>
      <c r="AT9" s="69">
        <f t="shared" si="8"/>
        <v>33</v>
      </c>
      <c r="AU9" s="69">
        <f t="shared" si="9"/>
        <v>0</v>
      </c>
      <c r="AV9" s="69">
        <f t="shared" si="10"/>
        <v>0</v>
      </c>
      <c r="AW9" s="91">
        <f t="shared" si="11"/>
        <v>239</v>
      </c>
      <c r="AY9" s="90">
        <v>6</v>
      </c>
      <c r="AZ9" s="90" t="s">
        <v>13</v>
      </c>
      <c r="BA9" s="90">
        <f>AQ5</f>
        <v>517</v>
      </c>
      <c r="BB9" s="90">
        <f>AQ7+AQ9</f>
        <v>38</v>
      </c>
      <c r="BC9" s="89">
        <f t="shared" si="14"/>
        <v>7.3500967117988397E-2</v>
      </c>
      <c r="BF9" s="112"/>
      <c r="BG9" s="112"/>
      <c r="BH9" s="113"/>
      <c r="BI9" s="112"/>
    </row>
    <row r="10" spans="1:61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2"/>
        <v>0</v>
      </c>
      <c r="AK10" s="66" t="s">
        <v>28</v>
      </c>
      <c r="AL10" s="67">
        <f t="shared" si="13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67">
        <f t="shared" si="10"/>
        <v>0</v>
      </c>
      <c r="AW10" s="87">
        <f t="shared" si="11"/>
        <v>0</v>
      </c>
      <c r="AY10" s="90">
        <v>7</v>
      </c>
      <c r="AZ10" s="90" t="s">
        <v>125</v>
      </c>
      <c r="BA10" s="90">
        <f>AR5</f>
        <v>393</v>
      </c>
      <c r="BB10" s="90">
        <f>AR7+AR9</f>
        <v>36</v>
      </c>
      <c r="BC10" s="89">
        <f t="shared" si="14"/>
        <v>9.1603053435114504E-2</v>
      </c>
      <c r="BF10" s="112"/>
      <c r="BG10" s="112"/>
      <c r="BH10" s="113"/>
      <c r="BI10" s="112"/>
    </row>
    <row r="11" spans="1:61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2"/>
        <v>0</v>
      </c>
      <c r="AK11" s="66" t="s">
        <v>29</v>
      </c>
      <c r="AL11" s="72">
        <f t="shared" si="13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67">
        <f t="shared" si="8"/>
        <v>0</v>
      </c>
      <c r="AU11" s="72">
        <f t="shared" si="9"/>
        <v>0</v>
      </c>
      <c r="AV11" s="72">
        <f t="shared" si="10"/>
        <v>0</v>
      </c>
      <c r="AW11" s="92">
        <f t="shared" si="11"/>
        <v>0</v>
      </c>
      <c r="AY11" s="90">
        <v>8</v>
      </c>
      <c r="AZ11" s="90" t="s">
        <v>126</v>
      </c>
      <c r="BA11" s="90">
        <f>AS5</f>
        <v>577</v>
      </c>
      <c r="BB11" s="90">
        <f>AS7+AS9</f>
        <v>85</v>
      </c>
      <c r="BC11" s="89">
        <f t="shared" si="14"/>
        <v>0.14731369150779897</v>
      </c>
      <c r="BF11" s="112"/>
      <c r="BG11" s="112"/>
      <c r="BH11" s="113"/>
      <c r="BI11" s="112"/>
    </row>
    <row r="12" spans="1:61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3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67">
        <f t="shared" si="8"/>
        <v>0</v>
      </c>
      <c r="AU12" s="72">
        <f t="shared" si="9"/>
        <v>0</v>
      </c>
      <c r="AV12" s="72">
        <f t="shared" si="10"/>
        <v>0</v>
      </c>
      <c r="AW12" s="92">
        <f t="shared" si="11"/>
        <v>0</v>
      </c>
      <c r="AY12" s="90">
        <v>9</v>
      </c>
      <c r="AZ12" s="90" t="s">
        <v>14</v>
      </c>
      <c r="BA12" s="90">
        <f>AU5</f>
        <v>0</v>
      </c>
      <c r="BB12" s="90">
        <f>AU7+AU9</f>
        <v>0</v>
      </c>
      <c r="BC12" s="89" t="e">
        <f t="shared" si="14"/>
        <v>#DIV/0!</v>
      </c>
      <c r="BF12" s="112"/>
      <c r="BG12" s="112"/>
      <c r="BH12" s="113"/>
      <c r="BI12" s="114"/>
    </row>
    <row r="13" spans="1:61" ht="21">
      <c r="A13" s="53"/>
      <c r="B13" s="54">
        <v>46174</v>
      </c>
      <c r="C13" s="54">
        <v>46175</v>
      </c>
      <c r="D13" s="54">
        <v>46176</v>
      </c>
      <c r="E13" s="54">
        <v>46177</v>
      </c>
      <c r="F13" s="54">
        <v>46178</v>
      </c>
      <c r="G13" s="54">
        <v>46179</v>
      </c>
      <c r="H13" s="54">
        <v>46180</v>
      </c>
      <c r="I13" s="54">
        <v>46181</v>
      </c>
      <c r="J13" s="54">
        <v>46182</v>
      </c>
      <c r="K13" s="54">
        <v>46183</v>
      </c>
      <c r="L13" s="54">
        <v>46184</v>
      </c>
      <c r="M13" s="54">
        <v>46185</v>
      </c>
      <c r="N13" s="54">
        <v>46186</v>
      </c>
      <c r="O13" s="54">
        <v>46187</v>
      </c>
      <c r="P13" s="54">
        <v>46188</v>
      </c>
      <c r="Q13" s="54">
        <v>46189</v>
      </c>
      <c r="R13" s="54">
        <v>46190</v>
      </c>
      <c r="S13" s="54">
        <v>46191</v>
      </c>
      <c r="T13" s="54">
        <v>46192</v>
      </c>
      <c r="U13" s="54">
        <v>46193</v>
      </c>
      <c r="V13" s="54">
        <v>46194</v>
      </c>
      <c r="W13" s="54">
        <v>46195</v>
      </c>
      <c r="X13" s="54">
        <v>46196</v>
      </c>
      <c r="Y13" s="54">
        <v>46197</v>
      </c>
      <c r="Z13" s="54">
        <v>46198</v>
      </c>
      <c r="AA13" s="54">
        <v>46199</v>
      </c>
      <c r="AB13" s="54">
        <v>46200</v>
      </c>
      <c r="AC13" s="54">
        <v>46201</v>
      </c>
      <c r="AD13" s="54">
        <v>46202</v>
      </c>
      <c r="AE13" s="54">
        <v>46203</v>
      </c>
      <c r="AF13" s="54"/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21</v>
      </c>
      <c r="AM13" s="74">
        <f t="shared" ref="AM13:AW13" si="15">AM7+AM9</f>
        <v>18</v>
      </c>
      <c r="AN13" s="74">
        <f t="shared" si="15"/>
        <v>31</v>
      </c>
      <c r="AO13" s="74">
        <f t="shared" si="15"/>
        <v>9</v>
      </c>
      <c r="AP13" s="74">
        <f t="shared" si="15"/>
        <v>19</v>
      </c>
      <c r="AQ13" s="74">
        <f t="shared" si="15"/>
        <v>38</v>
      </c>
      <c r="AR13" s="74">
        <f t="shared" si="15"/>
        <v>36</v>
      </c>
      <c r="AS13" s="74">
        <f t="shared" si="15"/>
        <v>85</v>
      </c>
      <c r="AT13" s="74">
        <f t="shared" si="15"/>
        <v>43</v>
      </c>
      <c r="AU13" s="74">
        <f t="shared" si="15"/>
        <v>0</v>
      </c>
      <c r="AV13" s="74">
        <f t="shared" si="15"/>
        <v>0</v>
      </c>
      <c r="AW13" s="93">
        <f t="shared" si="15"/>
        <v>300</v>
      </c>
      <c r="AY13" s="90">
        <v>10</v>
      </c>
      <c r="AZ13" s="90" t="s">
        <v>15</v>
      </c>
      <c r="BA13" s="90">
        <f>AV5</f>
        <v>0</v>
      </c>
      <c r="BB13" s="90">
        <f>AV7+AV9</f>
        <v>0</v>
      </c>
      <c r="BC13" s="89" t="e">
        <f t="shared" si="14"/>
        <v>#DIV/0!</v>
      </c>
      <c r="BF13" s="112"/>
      <c r="BG13" s="112"/>
      <c r="BH13" s="113"/>
      <c r="BI13" s="114"/>
    </row>
    <row r="14" spans="1:61" ht="21.75" thickBot="1">
      <c r="A14" s="55" t="s">
        <v>5</v>
      </c>
      <c r="B14" s="56">
        <v>28</v>
      </c>
      <c r="C14" s="56">
        <v>26</v>
      </c>
      <c r="D14" s="56">
        <v>19</v>
      </c>
      <c r="E14" s="56">
        <v>25</v>
      </c>
      <c r="F14" s="56">
        <v>49</v>
      </c>
      <c r="G14" s="56">
        <v>62</v>
      </c>
      <c r="H14" s="56">
        <v>39</v>
      </c>
      <c r="I14" s="56">
        <v>20</v>
      </c>
      <c r="J14" s="56">
        <v>28</v>
      </c>
      <c r="K14" s="56">
        <v>25</v>
      </c>
      <c r="L14" s="56">
        <v>43</v>
      </c>
      <c r="M14" s="56">
        <v>49</v>
      </c>
      <c r="N14" s="56">
        <v>58</v>
      </c>
      <c r="O14" s="56">
        <v>48</v>
      </c>
      <c r="P14" s="56">
        <v>22</v>
      </c>
      <c r="Q14" s="56">
        <v>42</v>
      </c>
      <c r="R14" s="56">
        <v>36</v>
      </c>
      <c r="S14" s="56">
        <v>38</v>
      </c>
      <c r="T14" s="56">
        <v>47</v>
      </c>
      <c r="U14" s="56">
        <v>69</v>
      </c>
      <c r="V14" s="56">
        <v>18</v>
      </c>
      <c r="W14" s="56">
        <v>22</v>
      </c>
      <c r="X14" s="56">
        <v>43</v>
      </c>
      <c r="Y14" s="56">
        <v>34</v>
      </c>
      <c r="Z14" s="56">
        <v>31</v>
      </c>
      <c r="AA14" s="56">
        <v>41</v>
      </c>
      <c r="AB14" s="56">
        <v>59</v>
      </c>
      <c r="AC14" s="56">
        <v>44</v>
      </c>
      <c r="AD14" s="56">
        <v>49</v>
      </c>
      <c r="AE14" s="56">
        <v>44</v>
      </c>
      <c r="AF14" s="56"/>
      <c r="AG14" s="63">
        <f>SUM(B14:AF14)</f>
        <v>1158</v>
      </c>
      <c r="AH14" s="63"/>
      <c r="AI14" s="63">
        <f>AG14</f>
        <v>1158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Y14" s="63"/>
      <c r="AZ14" s="63"/>
      <c r="BA14" s="63"/>
      <c r="BB14" s="63"/>
      <c r="BC14" s="63"/>
      <c r="BF14" s="112"/>
      <c r="BG14" s="112"/>
      <c r="BH14" s="113"/>
      <c r="BI14" s="114"/>
    </row>
    <row r="15" spans="1:61" ht="21">
      <c r="A15" s="55" t="s">
        <v>21</v>
      </c>
      <c r="B15" s="56">
        <v>16</v>
      </c>
      <c r="C15" s="56">
        <v>15</v>
      </c>
      <c r="D15" s="56">
        <v>10</v>
      </c>
      <c r="E15" s="56">
        <v>12</v>
      </c>
      <c r="F15" s="56">
        <v>25</v>
      </c>
      <c r="G15" s="56">
        <v>36</v>
      </c>
      <c r="H15" s="56">
        <v>20</v>
      </c>
      <c r="I15" s="56">
        <v>14</v>
      </c>
      <c r="J15" s="56">
        <v>19</v>
      </c>
      <c r="K15" s="56">
        <v>13</v>
      </c>
      <c r="L15" s="56">
        <v>27</v>
      </c>
      <c r="M15" s="56">
        <v>26</v>
      </c>
      <c r="N15" s="56">
        <v>24</v>
      </c>
      <c r="O15" s="56">
        <v>30</v>
      </c>
      <c r="P15" s="56">
        <v>12</v>
      </c>
      <c r="Q15" s="56">
        <v>19</v>
      </c>
      <c r="R15" s="56">
        <v>16</v>
      </c>
      <c r="S15" s="56">
        <v>22</v>
      </c>
      <c r="T15" s="56">
        <v>25</v>
      </c>
      <c r="U15" s="56">
        <v>37</v>
      </c>
      <c r="V15" s="56">
        <v>11</v>
      </c>
      <c r="W15" s="56">
        <v>11</v>
      </c>
      <c r="X15" s="56">
        <v>21</v>
      </c>
      <c r="Y15" s="56">
        <v>19</v>
      </c>
      <c r="Z15" s="56">
        <v>15</v>
      </c>
      <c r="AA15" s="56">
        <v>19</v>
      </c>
      <c r="AB15" s="56">
        <v>27</v>
      </c>
      <c r="AC15" s="56">
        <v>27</v>
      </c>
      <c r="AD15" s="56">
        <v>32</v>
      </c>
      <c r="AE15" s="56">
        <v>13</v>
      </c>
      <c r="AF15" s="56"/>
      <c r="AG15" s="63">
        <f t="shared" ref="AG15:AG22" si="16">SUM(B15:AF15)</f>
        <v>613</v>
      </c>
      <c r="AH15" s="63"/>
      <c r="AI15" s="63">
        <f>AG15+AH17+AH18+AH19</f>
        <v>613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Y15" s="94" t="s">
        <v>35</v>
      </c>
      <c r="AZ15" s="95" t="s">
        <v>36</v>
      </c>
      <c r="BA15" s="95" t="s">
        <v>2</v>
      </c>
      <c r="BB15" s="95" t="s">
        <v>37</v>
      </c>
      <c r="BC15" s="96" t="s">
        <v>38</v>
      </c>
      <c r="BF15" s="112"/>
      <c r="BG15" s="112"/>
      <c r="BH15" s="113"/>
      <c r="BI15" s="112"/>
    </row>
    <row r="16" spans="1:61" ht="18.75" customHeight="1">
      <c r="A16" s="55" t="s">
        <v>22</v>
      </c>
      <c r="B16" s="125">
        <v>16</v>
      </c>
      <c r="C16" s="125">
        <v>15</v>
      </c>
      <c r="D16" s="125">
        <v>9</v>
      </c>
      <c r="E16" s="125">
        <v>12</v>
      </c>
      <c r="F16" s="125">
        <v>25</v>
      </c>
      <c r="G16" s="125">
        <v>35</v>
      </c>
      <c r="H16" s="125">
        <v>20</v>
      </c>
      <c r="I16" s="125">
        <v>13</v>
      </c>
      <c r="J16" s="125">
        <v>19</v>
      </c>
      <c r="K16" s="125">
        <v>13</v>
      </c>
      <c r="L16" s="125">
        <v>26</v>
      </c>
      <c r="M16" s="125">
        <v>25</v>
      </c>
      <c r="N16" s="125">
        <v>24</v>
      </c>
      <c r="O16" s="125">
        <v>28</v>
      </c>
      <c r="P16" s="125">
        <v>11</v>
      </c>
      <c r="Q16" s="125">
        <v>17</v>
      </c>
      <c r="R16" s="125">
        <v>16</v>
      </c>
      <c r="S16" s="125">
        <v>21</v>
      </c>
      <c r="T16" s="125">
        <v>25</v>
      </c>
      <c r="U16" s="125">
        <v>37</v>
      </c>
      <c r="V16" s="125">
        <v>11</v>
      </c>
      <c r="W16" s="125">
        <v>10</v>
      </c>
      <c r="X16" s="125">
        <v>20</v>
      </c>
      <c r="Y16" s="125">
        <v>19</v>
      </c>
      <c r="Z16" s="125">
        <v>14</v>
      </c>
      <c r="AA16" s="125">
        <v>18</v>
      </c>
      <c r="AB16" s="125">
        <v>27</v>
      </c>
      <c r="AC16" s="125">
        <v>26</v>
      </c>
      <c r="AD16" s="125">
        <v>30</v>
      </c>
      <c r="AE16" s="125">
        <v>13</v>
      </c>
      <c r="AF16" s="56"/>
      <c r="AG16" s="63">
        <f t="shared" si="16"/>
        <v>595</v>
      </c>
      <c r="AH16" s="63"/>
      <c r="AI16" s="63">
        <f>AG16+AH17+AH18+AH19</f>
        <v>595</v>
      </c>
      <c r="AK16" s="265" t="s">
        <v>455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Y16" s="97">
        <v>100</v>
      </c>
      <c r="AZ16" s="98">
        <v>0.02</v>
      </c>
      <c r="BA16" s="63">
        <f t="shared" ref="BA16:BA25" si="17">AY16*AZ16</f>
        <v>2</v>
      </c>
      <c r="BB16" s="63">
        <v>1</v>
      </c>
      <c r="BC16" s="99">
        <f>BA16-BB16</f>
        <v>1</v>
      </c>
      <c r="BF16" s="112"/>
      <c r="BG16" s="112"/>
      <c r="BH16" s="113"/>
      <c r="BI16" s="114"/>
    </row>
    <row r="17" spans="1:61" ht="18.75" customHeight="1">
      <c r="A17" s="55" t="s">
        <v>23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1</v>
      </c>
      <c r="M17" s="125">
        <v>0</v>
      </c>
      <c r="N17" s="125">
        <v>0</v>
      </c>
      <c r="O17" s="125">
        <v>0</v>
      </c>
      <c r="P17" s="125">
        <v>0</v>
      </c>
      <c r="Q17" s="125">
        <v>0</v>
      </c>
      <c r="R17" s="125">
        <v>0</v>
      </c>
      <c r="S17" s="125">
        <v>1</v>
      </c>
      <c r="T17" s="125">
        <v>0</v>
      </c>
      <c r="U17" s="125">
        <v>0</v>
      </c>
      <c r="V17" s="125">
        <v>0</v>
      </c>
      <c r="W17" s="125">
        <v>0</v>
      </c>
      <c r="X17" s="125">
        <v>0</v>
      </c>
      <c r="Y17" s="125">
        <v>0</v>
      </c>
      <c r="Z17" s="125">
        <v>0</v>
      </c>
      <c r="AA17" s="125">
        <v>0</v>
      </c>
      <c r="AB17" s="125">
        <v>0</v>
      </c>
      <c r="AC17" s="125">
        <v>1</v>
      </c>
      <c r="AD17" s="125">
        <v>0</v>
      </c>
      <c r="AE17" s="125">
        <v>0</v>
      </c>
      <c r="AF17" s="56"/>
      <c r="AG17" s="63">
        <f t="shared" si="16"/>
        <v>3</v>
      </c>
      <c r="AH17" s="63"/>
      <c r="AI17" s="63">
        <f t="shared" ref="AI17:AI22" si="18">AG17-AH17</f>
        <v>3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70"/>
      <c r="AY17" s="97">
        <v>200</v>
      </c>
      <c r="AZ17" s="98">
        <v>0.02</v>
      </c>
      <c r="BA17" s="63">
        <f t="shared" si="17"/>
        <v>4</v>
      </c>
      <c r="BB17" s="63">
        <v>1</v>
      </c>
      <c r="BC17" s="99">
        <f t="shared" ref="BC17:BC25" si="19">BA17-BB17</f>
        <v>3</v>
      </c>
      <c r="BF17" s="112"/>
      <c r="BG17" s="112"/>
      <c r="BH17" s="113"/>
      <c r="BI17" s="112"/>
    </row>
    <row r="18" spans="1:61" ht="23.25">
      <c r="A18" s="55" t="s">
        <v>24</v>
      </c>
      <c r="B18" s="125">
        <v>0</v>
      </c>
      <c r="C18" s="125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0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  <c r="AD18" s="125">
        <v>0</v>
      </c>
      <c r="AE18" s="125">
        <v>0</v>
      </c>
      <c r="AF18" s="56"/>
      <c r="AG18" s="63">
        <f t="shared" si="16"/>
        <v>0</v>
      </c>
      <c r="AH18" s="63"/>
      <c r="AI18" s="63">
        <f t="shared" si="18"/>
        <v>0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65" t="s">
        <v>305</v>
      </c>
      <c r="AU18" s="76" t="s">
        <v>14</v>
      </c>
      <c r="AV18" s="76" t="s">
        <v>15</v>
      </c>
      <c r="AW18" s="100" t="s">
        <v>2</v>
      </c>
      <c r="AY18" s="97">
        <v>300</v>
      </c>
      <c r="AZ18" s="98">
        <v>0.02</v>
      </c>
      <c r="BA18" s="63">
        <f t="shared" si="17"/>
        <v>6</v>
      </c>
      <c r="BB18" s="63">
        <v>1</v>
      </c>
      <c r="BC18" s="99">
        <f t="shared" si="19"/>
        <v>5</v>
      </c>
      <c r="BF18" s="115"/>
      <c r="BG18" s="115"/>
      <c r="BH18" s="115"/>
      <c r="BI18" s="112"/>
    </row>
    <row r="19" spans="1:61" ht="23.25">
      <c r="A19" s="55" t="s">
        <v>26</v>
      </c>
      <c r="B19" s="125">
        <v>0</v>
      </c>
      <c r="C19" s="125">
        <v>0</v>
      </c>
      <c r="D19" s="125">
        <v>1</v>
      </c>
      <c r="E19" s="125">
        <v>0</v>
      </c>
      <c r="F19" s="125">
        <v>0</v>
      </c>
      <c r="G19" s="125">
        <v>1</v>
      </c>
      <c r="H19" s="125">
        <v>0</v>
      </c>
      <c r="I19" s="125">
        <v>1</v>
      </c>
      <c r="J19" s="125">
        <v>0</v>
      </c>
      <c r="K19" s="125">
        <v>0</v>
      </c>
      <c r="L19" s="125">
        <v>0</v>
      </c>
      <c r="M19" s="125">
        <v>1</v>
      </c>
      <c r="N19" s="125">
        <v>0</v>
      </c>
      <c r="O19" s="125">
        <v>2</v>
      </c>
      <c r="P19" s="125">
        <v>1</v>
      </c>
      <c r="Q19" s="125">
        <v>2</v>
      </c>
      <c r="R19" s="125">
        <v>0</v>
      </c>
      <c r="S19" s="125">
        <v>0</v>
      </c>
      <c r="T19" s="125">
        <v>0</v>
      </c>
      <c r="U19" s="125">
        <v>0</v>
      </c>
      <c r="V19" s="125">
        <v>0</v>
      </c>
      <c r="W19" s="125">
        <v>1</v>
      </c>
      <c r="X19" s="125">
        <v>1</v>
      </c>
      <c r="Y19" s="125">
        <v>0</v>
      </c>
      <c r="Z19" s="125">
        <v>1</v>
      </c>
      <c r="AA19" s="125">
        <v>1</v>
      </c>
      <c r="AB19" s="125">
        <v>0</v>
      </c>
      <c r="AC19" s="125">
        <v>0</v>
      </c>
      <c r="AD19" s="125">
        <v>2</v>
      </c>
      <c r="AE19" s="125">
        <v>0</v>
      </c>
      <c r="AF19" s="56"/>
      <c r="AG19" s="63">
        <f t="shared" si="16"/>
        <v>15</v>
      </c>
      <c r="AH19" s="63"/>
      <c r="AI19" s="63">
        <f t="shared" si="18"/>
        <v>15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101"/>
      <c r="AY19" s="97">
        <v>400</v>
      </c>
      <c r="AZ19" s="98">
        <v>0.02</v>
      </c>
      <c r="BA19" s="63">
        <f t="shared" si="17"/>
        <v>8</v>
      </c>
      <c r="BB19" s="63">
        <v>1</v>
      </c>
      <c r="BC19" s="99">
        <f t="shared" si="19"/>
        <v>7</v>
      </c>
      <c r="BF19" s="112"/>
      <c r="BG19" s="112"/>
      <c r="BH19" s="113"/>
      <c r="BI19" s="116"/>
    </row>
    <row r="20" spans="1:61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6"/>
        <v>0</v>
      </c>
      <c r="AH20" s="70"/>
      <c r="AI20" s="63">
        <f t="shared" si="18"/>
        <v>0</v>
      </c>
      <c r="AK20" s="77" t="s">
        <v>40</v>
      </c>
      <c r="AL20" s="79">
        <f>+AL5/AL4</f>
        <v>0.59153439153439158</v>
      </c>
      <c r="AM20" s="79">
        <f t="shared" ref="AM20:AW21" si="20">+AM5/AM4</f>
        <v>0.52936096718480141</v>
      </c>
      <c r="AN20" s="79">
        <f t="shared" si="20"/>
        <v>0.66626936829559003</v>
      </c>
      <c r="AO20" s="79">
        <f t="shared" si="20"/>
        <v>0.69021739130434778</v>
      </c>
      <c r="AP20" s="79">
        <f t="shared" si="20"/>
        <v>0.59611650485436896</v>
      </c>
      <c r="AQ20" s="79">
        <f t="shared" si="20"/>
        <v>0.50048402710551787</v>
      </c>
      <c r="AR20" s="79">
        <f t="shared" si="20"/>
        <v>0.46453900709219859</v>
      </c>
      <c r="AS20" s="79">
        <f>+AS5/AS4</f>
        <v>0.553742802303263</v>
      </c>
      <c r="AT20" s="79">
        <f>+AT5/AT4</f>
        <v>0.48865153538050732</v>
      </c>
      <c r="AU20" s="79" t="e">
        <f t="shared" si="20"/>
        <v>#DIV/0!</v>
      </c>
      <c r="AV20" s="79" t="e">
        <f t="shared" si="20"/>
        <v>#DIV/0!</v>
      </c>
      <c r="AW20" s="102">
        <f t="shared" si="20"/>
        <v>0.55632243781742419</v>
      </c>
      <c r="AY20" s="97">
        <v>500</v>
      </c>
      <c r="AZ20" s="98">
        <v>0.02</v>
      </c>
      <c r="BA20" s="63">
        <f t="shared" si="17"/>
        <v>10</v>
      </c>
      <c r="BB20" s="63">
        <v>1</v>
      </c>
      <c r="BC20" s="99">
        <f t="shared" si="19"/>
        <v>9</v>
      </c>
      <c r="BF20" s="112"/>
      <c r="BG20" s="112"/>
      <c r="BH20" s="113"/>
      <c r="BI20" s="116"/>
    </row>
    <row r="21" spans="1:61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6"/>
        <v>0</v>
      </c>
      <c r="AH21" s="71"/>
      <c r="AI21" s="63">
        <f t="shared" si="18"/>
        <v>0</v>
      </c>
      <c r="AK21" s="77" t="s">
        <v>41</v>
      </c>
      <c r="AL21" s="79">
        <f>+AL6/AL5</f>
        <v>0.96243291592128799</v>
      </c>
      <c r="AM21" s="79">
        <f t="shared" si="20"/>
        <v>0.9706362153344209</v>
      </c>
      <c r="AN21" s="79">
        <f t="shared" si="20"/>
        <v>0.94096601073345254</v>
      </c>
      <c r="AO21" s="79">
        <f t="shared" si="20"/>
        <v>0.92125984251968507</v>
      </c>
      <c r="AP21" s="79">
        <f t="shared" si="20"/>
        <v>0.93485342019543971</v>
      </c>
      <c r="AQ21" s="79">
        <f t="shared" si="20"/>
        <v>0.92649903288201163</v>
      </c>
      <c r="AR21" s="79">
        <f t="shared" si="20"/>
        <v>0.90839694656488545</v>
      </c>
      <c r="AS21" s="79">
        <f t="shared" si="20"/>
        <v>0.85095320623916815</v>
      </c>
      <c r="AT21" s="79">
        <f t="shared" si="20"/>
        <v>0.87704918032786883</v>
      </c>
      <c r="AU21" s="79" t="e">
        <f t="shared" si="20"/>
        <v>#DIV/0!</v>
      </c>
      <c r="AV21" s="79" t="e">
        <f t="shared" si="20"/>
        <v>#DIV/0!</v>
      </c>
      <c r="AW21" s="102">
        <f t="shared" si="20"/>
        <v>0.9234550561797753</v>
      </c>
      <c r="AY21" s="97">
        <v>600</v>
      </c>
      <c r="AZ21" s="98">
        <v>0.02</v>
      </c>
      <c r="BA21" s="63">
        <f t="shared" si="17"/>
        <v>12</v>
      </c>
      <c r="BB21" s="63">
        <v>1</v>
      </c>
      <c r="BC21" s="99">
        <f t="shared" si="19"/>
        <v>11</v>
      </c>
      <c r="BF21" s="112"/>
      <c r="BG21" s="112"/>
      <c r="BH21" s="113"/>
      <c r="BI21" s="116"/>
    </row>
    <row r="22" spans="1:61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6"/>
        <v>0</v>
      </c>
      <c r="AH22" s="63"/>
      <c r="AI22" s="63">
        <f t="shared" si="18"/>
        <v>0</v>
      </c>
      <c r="AK22" s="77" t="s">
        <v>23</v>
      </c>
      <c r="AL22" s="79">
        <f>AL7/AL5</f>
        <v>7.1556350626118068E-3</v>
      </c>
      <c r="AM22" s="79">
        <f t="shared" ref="AM22:AW22" si="21">AM7/AM5</f>
        <v>4.8939641109298528E-3</v>
      </c>
      <c r="AN22" s="79">
        <f t="shared" si="21"/>
        <v>2.5044722719141325E-2</v>
      </c>
      <c r="AO22" s="79">
        <f t="shared" si="21"/>
        <v>2.0997375328083989E-2</v>
      </c>
      <c r="AP22" s="79">
        <f t="shared" si="21"/>
        <v>1.6286644951140065E-2</v>
      </c>
      <c r="AQ22" s="79">
        <f t="shared" si="21"/>
        <v>1.160541586073501E-2</v>
      </c>
      <c r="AR22" s="79">
        <f t="shared" si="21"/>
        <v>5.0890585241730284E-3</v>
      </c>
      <c r="AS22" s="79">
        <f t="shared" si="21"/>
        <v>1.5597920277296361E-2</v>
      </c>
      <c r="AT22" s="79">
        <f t="shared" si="21"/>
        <v>2.7322404371584699E-2</v>
      </c>
      <c r="AU22" s="79" t="e">
        <f t="shared" si="21"/>
        <v>#DIV/0!</v>
      </c>
      <c r="AV22" s="79" t="e">
        <f t="shared" si="21"/>
        <v>#DIV/0!</v>
      </c>
      <c r="AW22" s="102">
        <f t="shared" si="21"/>
        <v>1.4279026217228465E-2</v>
      </c>
      <c r="AY22" s="97">
        <v>700</v>
      </c>
      <c r="AZ22" s="98">
        <v>0.02</v>
      </c>
      <c r="BA22" s="63">
        <f t="shared" si="17"/>
        <v>14</v>
      </c>
      <c r="BB22" s="63">
        <v>1</v>
      </c>
      <c r="BC22" s="99">
        <f t="shared" si="19"/>
        <v>13</v>
      </c>
      <c r="BF22" s="112"/>
      <c r="BG22" s="112"/>
      <c r="BH22" s="113"/>
      <c r="BI22" s="116"/>
    </row>
    <row r="23" spans="1:61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0</v>
      </c>
      <c r="AM23" s="79">
        <f t="shared" ref="AM23:AW23" si="22">AM8/AM5</f>
        <v>0</v>
      </c>
      <c r="AN23" s="79">
        <f t="shared" si="22"/>
        <v>3.5778175313059034E-3</v>
      </c>
      <c r="AO23" s="79">
        <f t="shared" si="22"/>
        <v>5.5118110236220472E-2</v>
      </c>
      <c r="AP23" s="79">
        <f t="shared" si="22"/>
        <v>3.2573289902280132E-3</v>
      </c>
      <c r="AQ23" s="79">
        <f t="shared" si="22"/>
        <v>3.8684719535783366E-3</v>
      </c>
      <c r="AR23" s="79">
        <f t="shared" si="22"/>
        <v>0</v>
      </c>
      <c r="AS23" s="79">
        <f t="shared" si="22"/>
        <v>1.7331022530329288E-3</v>
      </c>
      <c r="AT23" s="79">
        <f t="shared" si="22"/>
        <v>5.4644808743169399E-3</v>
      </c>
      <c r="AU23" s="79" t="e">
        <f t="shared" si="22"/>
        <v>#DIV/0!</v>
      </c>
      <c r="AV23" s="79" t="e">
        <f t="shared" si="22"/>
        <v>#DIV/0!</v>
      </c>
      <c r="AW23" s="102">
        <f t="shared" si="22"/>
        <v>6.7883895131086143E-3</v>
      </c>
      <c r="AY23" s="97">
        <v>800</v>
      </c>
      <c r="AZ23" s="98">
        <v>0.02</v>
      </c>
      <c r="BA23" s="63">
        <f t="shared" si="17"/>
        <v>16</v>
      </c>
      <c r="BB23" s="63">
        <v>1</v>
      </c>
      <c r="BC23" s="99">
        <f t="shared" si="19"/>
        <v>15</v>
      </c>
      <c r="BF23" s="112"/>
      <c r="BG23" s="112"/>
      <c r="BH23" s="113"/>
      <c r="BI23" s="112"/>
    </row>
    <row r="24" spans="1:61" ht="23.25">
      <c r="A24" s="53"/>
      <c r="B24" s="54">
        <v>46174</v>
      </c>
      <c r="C24" s="54">
        <v>46175</v>
      </c>
      <c r="D24" s="54">
        <v>46176</v>
      </c>
      <c r="E24" s="54">
        <v>46177</v>
      </c>
      <c r="F24" s="54">
        <v>46178</v>
      </c>
      <c r="G24" s="54">
        <v>46179</v>
      </c>
      <c r="H24" s="54">
        <v>46180</v>
      </c>
      <c r="I24" s="54">
        <v>46181</v>
      </c>
      <c r="J24" s="54">
        <v>46182</v>
      </c>
      <c r="K24" s="54">
        <v>46183</v>
      </c>
      <c r="L24" s="54">
        <v>46184</v>
      </c>
      <c r="M24" s="54">
        <v>46185</v>
      </c>
      <c r="N24" s="54">
        <v>46186</v>
      </c>
      <c r="O24" s="54">
        <v>46187</v>
      </c>
      <c r="P24" s="54">
        <v>46188</v>
      </c>
      <c r="Q24" s="54">
        <v>46189</v>
      </c>
      <c r="R24" s="54">
        <v>46190</v>
      </c>
      <c r="S24" s="54">
        <v>46191</v>
      </c>
      <c r="T24" s="54">
        <v>46192</v>
      </c>
      <c r="U24" s="54">
        <v>46193</v>
      </c>
      <c r="V24" s="54">
        <v>46194</v>
      </c>
      <c r="W24" s="54">
        <v>46195</v>
      </c>
      <c r="X24" s="54">
        <v>46196</v>
      </c>
      <c r="Y24" s="54">
        <v>46197</v>
      </c>
      <c r="Z24" s="54">
        <v>46198</v>
      </c>
      <c r="AA24" s="54">
        <v>46199</v>
      </c>
      <c r="AB24" s="54">
        <v>46200</v>
      </c>
      <c r="AC24" s="54">
        <v>46201</v>
      </c>
      <c r="AD24" s="54">
        <v>46202</v>
      </c>
      <c r="AE24" s="54">
        <v>46203</v>
      </c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79">
        <f>AL9/AL5</f>
        <v>3.041144901610018E-2</v>
      </c>
      <c r="AM24" s="79">
        <f t="shared" ref="AM24:AW25" si="23">AM9/AM5</f>
        <v>2.4469820554649267E-2</v>
      </c>
      <c r="AN24" s="79">
        <f t="shared" si="23"/>
        <v>3.041144901610018E-2</v>
      </c>
      <c r="AO24" s="79">
        <f t="shared" si="23"/>
        <v>2.6246719160104987E-3</v>
      </c>
      <c r="AP24" s="79">
        <f t="shared" si="23"/>
        <v>4.5602605863192182E-2</v>
      </c>
      <c r="AQ24" s="79">
        <f t="shared" si="23"/>
        <v>6.1895551257253385E-2</v>
      </c>
      <c r="AR24" s="79">
        <f t="shared" si="23"/>
        <v>8.6513994910941472E-2</v>
      </c>
      <c r="AS24" s="79">
        <f t="shared" si="23"/>
        <v>0.1317157712305026</v>
      </c>
      <c r="AT24" s="79">
        <f t="shared" si="23"/>
        <v>9.0163934426229511E-2</v>
      </c>
      <c r="AU24" s="79" t="e">
        <f t="shared" si="23"/>
        <v>#DIV/0!</v>
      </c>
      <c r="AV24" s="79" t="e">
        <f t="shared" si="23"/>
        <v>#DIV/0!</v>
      </c>
      <c r="AW24" s="102">
        <f t="shared" si="23"/>
        <v>5.5945692883895129E-2</v>
      </c>
      <c r="AY24" s="97">
        <v>900</v>
      </c>
      <c r="AZ24" s="98">
        <v>0.02</v>
      </c>
      <c r="BA24" s="63">
        <f t="shared" si="17"/>
        <v>18</v>
      </c>
      <c r="BB24" s="63">
        <v>1</v>
      </c>
      <c r="BC24" s="99">
        <f t="shared" si="19"/>
        <v>17</v>
      </c>
      <c r="BF24" s="117"/>
      <c r="BG24" s="117"/>
      <c r="BH24" s="118"/>
      <c r="BI24" s="112"/>
    </row>
    <row r="25" spans="1:61" ht="24" thickBot="1">
      <c r="A25" s="55" t="s">
        <v>5</v>
      </c>
      <c r="B25" s="56">
        <v>22</v>
      </c>
      <c r="C25" s="56">
        <v>16</v>
      </c>
      <c r="D25" s="56">
        <v>18</v>
      </c>
      <c r="E25" s="56">
        <v>16</v>
      </c>
      <c r="F25" s="56">
        <v>30</v>
      </c>
      <c r="G25" s="56">
        <v>55</v>
      </c>
      <c r="H25" s="56">
        <v>20</v>
      </c>
      <c r="I25" s="56">
        <v>16</v>
      </c>
      <c r="J25" s="56">
        <v>24</v>
      </c>
      <c r="K25" s="56">
        <v>24</v>
      </c>
      <c r="L25" s="56">
        <v>19</v>
      </c>
      <c r="M25" s="56">
        <v>31</v>
      </c>
      <c r="N25" s="56">
        <v>47</v>
      </c>
      <c r="O25" s="56">
        <v>30</v>
      </c>
      <c r="P25" s="56">
        <v>25</v>
      </c>
      <c r="Q25" s="56">
        <v>29</v>
      </c>
      <c r="R25" s="56">
        <v>29</v>
      </c>
      <c r="S25" s="56">
        <v>30</v>
      </c>
      <c r="T25" s="56">
        <v>26</v>
      </c>
      <c r="U25" s="56">
        <v>57</v>
      </c>
      <c r="V25" s="56">
        <v>30</v>
      </c>
      <c r="W25" s="56">
        <v>24</v>
      </c>
      <c r="X25" s="56">
        <v>21</v>
      </c>
      <c r="Y25" s="56">
        <v>42</v>
      </c>
      <c r="Z25" s="56">
        <v>26</v>
      </c>
      <c r="AA25" s="56">
        <v>18</v>
      </c>
      <c r="AB25" s="56">
        <v>31</v>
      </c>
      <c r="AC25" s="56">
        <v>23</v>
      </c>
      <c r="AD25" s="56">
        <v>40</v>
      </c>
      <c r="AE25" s="56">
        <v>20</v>
      </c>
      <c r="AF25" s="56"/>
      <c r="AG25" s="63">
        <f>SUM(B25:AF25)</f>
        <v>839</v>
      </c>
      <c r="AH25" s="63"/>
      <c r="AI25" s="63">
        <f>AG25</f>
        <v>839</v>
      </c>
      <c r="AK25" s="77" t="s">
        <v>28</v>
      </c>
      <c r="AL25" s="79">
        <f t="shared" ref="AL25:AW28" si="24">AL10/AL6</f>
        <v>0</v>
      </c>
      <c r="AM25" s="79">
        <f t="shared" si="24"/>
        <v>0</v>
      </c>
      <c r="AN25" s="79">
        <f t="shared" si="24"/>
        <v>0</v>
      </c>
      <c r="AO25" s="79">
        <f t="shared" si="24"/>
        <v>0</v>
      </c>
      <c r="AP25" s="79">
        <f t="shared" si="24"/>
        <v>0</v>
      </c>
      <c r="AQ25" s="79">
        <f t="shared" si="24"/>
        <v>0</v>
      </c>
      <c r="AR25" s="79">
        <f t="shared" si="24"/>
        <v>0</v>
      </c>
      <c r="AS25" s="79">
        <f t="shared" si="24"/>
        <v>0</v>
      </c>
      <c r="AT25" s="79">
        <f t="shared" si="23"/>
        <v>0</v>
      </c>
      <c r="AU25" s="79" t="e">
        <f t="shared" si="24"/>
        <v>#DIV/0!</v>
      </c>
      <c r="AV25" s="79" t="e">
        <f t="shared" si="24"/>
        <v>#DIV/0!</v>
      </c>
      <c r="AW25" s="102">
        <f t="shared" si="24"/>
        <v>0</v>
      </c>
      <c r="AY25" s="103">
        <v>1000</v>
      </c>
      <c r="AZ25" s="104">
        <v>0.02</v>
      </c>
      <c r="BA25" s="105">
        <f t="shared" si="17"/>
        <v>20</v>
      </c>
      <c r="BB25" s="105">
        <v>1</v>
      </c>
      <c r="BC25" s="106">
        <f t="shared" si="19"/>
        <v>19</v>
      </c>
      <c r="BF25" s="117"/>
      <c r="BG25" s="117"/>
      <c r="BH25" s="118"/>
      <c r="BI25" s="114"/>
    </row>
    <row r="26" spans="1:61" ht="24" thickBot="1">
      <c r="A26" s="55" t="s">
        <v>21</v>
      </c>
      <c r="B26" s="56">
        <v>11</v>
      </c>
      <c r="C26" s="56">
        <v>12</v>
      </c>
      <c r="D26" s="56">
        <v>6</v>
      </c>
      <c r="E26" s="56">
        <v>10</v>
      </c>
      <c r="F26" s="56">
        <v>21</v>
      </c>
      <c r="G26" s="56">
        <v>34</v>
      </c>
      <c r="H26" s="56">
        <v>11</v>
      </c>
      <c r="I26" s="56">
        <v>9</v>
      </c>
      <c r="J26" s="56">
        <v>15</v>
      </c>
      <c r="K26" s="56">
        <v>13</v>
      </c>
      <c r="L26" s="56">
        <v>12</v>
      </c>
      <c r="M26" s="56">
        <v>22</v>
      </c>
      <c r="N26" s="56">
        <v>28</v>
      </c>
      <c r="O26" s="56">
        <v>24</v>
      </c>
      <c r="P26" s="56">
        <v>16</v>
      </c>
      <c r="Q26" s="56">
        <v>18</v>
      </c>
      <c r="R26" s="56">
        <v>26</v>
      </c>
      <c r="S26" s="56">
        <v>25</v>
      </c>
      <c r="T26" s="56">
        <v>23</v>
      </c>
      <c r="U26" s="56">
        <v>40</v>
      </c>
      <c r="V26" s="56">
        <v>15</v>
      </c>
      <c r="W26" s="56">
        <v>15</v>
      </c>
      <c r="X26" s="56">
        <v>13</v>
      </c>
      <c r="Y26" s="56">
        <v>34</v>
      </c>
      <c r="Z26" s="56">
        <v>18</v>
      </c>
      <c r="AA26" s="56">
        <v>12</v>
      </c>
      <c r="AB26" s="56">
        <v>20</v>
      </c>
      <c r="AC26" s="56">
        <v>18</v>
      </c>
      <c r="AD26" s="56">
        <v>27</v>
      </c>
      <c r="AE26" s="56">
        <v>11</v>
      </c>
      <c r="AF26" s="56"/>
      <c r="AG26" s="63">
        <f t="shared" ref="AG26:AG33" si="25">SUM(B26:AF26)</f>
        <v>559</v>
      </c>
      <c r="AH26" s="63"/>
      <c r="AI26" s="63">
        <f>AG26+AH28+AH29+AH30</f>
        <v>559</v>
      </c>
      <c r="AK26" s="77" t="s">
        <v>29</v>
      </c>
      <c r="AL26" s="79">
        <f t="shared" si="24"/>
        <v>0</v>
      </c>
      <c r="AM26" s="79">
        <f t="shared" si="24"/>
        <v>0</v>
      </c>
      <c r="AN26" s="79">
        <f t="shared" si="24"/>
        <v>0</v>
      </c>
      <c r="AO26" s="79">
        <f t="shared" si="24"/>
        <v>0</v>
      </c>
      <c r="AP26" s="79">
        <f t="shared" si="24"/>
        <v>0</v>
      </c>
      <c r="AQ26" s="79">
        <f t="shared" si="24"/>
        <v>0</v>
      </c>
      <c r="AR26" s="79">
        <f t="shared" si="24"/>
        <v>0</v>
      </c>
      <c r="AS26" s="79">
        <f t="shared" si="24"/>
        <v>0</v>
      </c>
      <c r="AT26" s="79">
        <f t="shared" si="24"/>
        <v>0</v>
      </c>
      <c r="AU26" s="79" t="e">
        <f t="shared" si="24"/>
        <v>#DIV/0!</v>
      </c>
      <c r="AV26" s="79" t="e">
        <f t="shared" si="24"/>
        <v>#DIV/0!</v>
      </c>
      <c r="AW26" s="102">
        <f t="shared" si="24"/>
        <v>0</v>
      </c>
      <c r="AY26" s="63"/>
      <c r="AZ26" s="63"/>
      <c r="BA26" s="63"/>
      <c r="BB26" s="63"/>
      <c r="BC26" s="63"/>
      <c r="BF26" s="117"/>
      <c r="BG26" s="117"/>
      <c r="BH26" s="118"/>
      <c r="BI26" s="119"/>
    </row>
    <row r="27" spans="1:61" ht="24" thickBot="1">
      <c r="A27" s="55" t="s">
        <v>22</v>
      </c>
      <c r="B27" s="125">
        <v>11</v>
      </c>
      <c r="C27" s="125">
        <v>11</v>
      </c>
      <c r="D27" s="125">
        <v>5</v>
      </c>
      <c r="E27" s="125">
        <v>8</v>
      </c>
      <c r="F27" s="125">
        <v>19</v>
      </c>
      <c r="G27" s="125">
        <v>34</v>
      </c>
      <c r="H27" s="125">
        <v>11</v>
      </c>
      <c r="I27" s="125">
        <v>9</v>
      </c>
      <c r="J27" s="125">
        <v>15</v>
      </c>
      <c r="K27" s="125">
        <v>13</v>
      </c>
      <c r="L27" s="125">
        <v>12</v>
      </c>
      <c r="M27" s="125">
        <v>21</v>
      </c>
      <c r="N27" s="125">
        <v>26</v>
      </c>
      <c r="O27" s="125">
        <v>22</v>
      </c>
      <c r="P27" s="125">
        <v>16</v>
      </c>
      <c r="Q27" s="125">
        <v>18</v>
      </c>
      <c r="R27" s="125">
        <v>24</v>
      </c>
      <c r="S27" s="125">
        <v>24</v>
      </c>
      <c r="T27" s="125">
        <v>22</v>
      </c>
      <c r="U27" s="125">
        <v>39</v>
      </c>
      <c r="V27" s="125">
        <v>15</v>
      </c>
      <c r="W27" s="125">
        <v>14</v>
      </c>
      <c r="X27" s="125">
        <v>13</v>
      </c>
      <c r="Y27" s="125">
        <v>28</v>
      </c>
      <c r="Z27" s="125">
        <v>18</v>
      </c>
      <c r="AA27" s="125">
        <v>11</v>
      </c>
      <c r="AB27" s="125">
        <v>20</v>
      </c>
      <c r="AC27" s="125">
        <v>16</v>
      </c>
      <c r="AD27" s="125">
        <v>22</v>
      </c>
      <c r="AE27" s="125">
        <v>9</v>
      </c>
      <c r="AF27" s="56"/>
      <c r="AG27" s="63">
        <f t="shared" si="25"/>
        <v>526</v>
      </c>
      <c r="AH27" s="63"/>
      <c r="AI27" s="63">
        <f>AG27+AH28+AH29+AH30</f>
        <v>526</v>
      </c>
      <c r="AK27" s="77" t="s">
        <v>31</v>
      </c>
      <c r="AL27" s="79" t="e">
        <f t="shared" si="24"/>
        <v>#DIV/0!</v>
      </c>
      <c r="AM27" s="79" t="e">
        <f t="shared" si="24"/>
        <v>#DIV/0!</v>
      </c>
      <c r="AN27" s="79">
        <f t="shared" si="24"/>
        <v>0</v>
      </c>
      <c r="AO27" s="79">
        <f t="shared" si="24"/>
        <v>0</v>
      </c>
      <c r="AP27" s="79">
        <f t="shared" si="24"/>
        <v>0</v>
      </c>
      <c r="AQ27" s="79">
        <f t="shared" si="24"/>
        <v>0</v>
      </c>
      <c r="AR27" s="79" t="e">
        <f t="shared" si="24"/>
        <v>#DIV/0!</v>
      </c>
      <c r="AS27" s="79">
        <f t="shared" si="24"/>
        <v>0</v>
      </c>
      <c r="AT27" s="79">
        <f t="shared" si="24"/>
        <v>0</v>
      </c>
      <c r="AU27" s="79" t="e">
        <f t="shared" si="24"/>
        <v>#DIV/0!</v>
      </c>
      <c r="AV27" s="79" t="e">
        <f>AV12/AV8</f>
        <v>#DIV/0!</v>
      </c>
      <c r="AW27" s="102">
        <f>AW12/AW8</f>
        <v>0</v>
      </c>
      <c r="AY27" s="108" t="s">
        <v>44</v>
      </c>
      <c r="AZ27" s="271" t="s">
        <v>45</v>
      </c>
      <c r="BA27" s="272"/>
      <c r="BB27" s="63"/>
      <c r="BC27" s="63"/>
      <c r="BF27" s="117"/>
      <c r="BG27" s="117"/>
      <c r="BH27" s="118"/>
      <c r="BI27" s="114"/>
    </row>
    <row r="28" spans="1:61" ht="23.25">
      <c r="A28" s="55" t="s">
        <v>23</v>
      </c>
      <c r="B28" s="125">
        <v>0</v>
      </c>
      <c r="C28" s="125">
        <v>1</v>
      </c>
      <c r="D28" s="125">
        <v>1</v>
      </c>
      <c r="E28" s="125">
        <v>1</v>
      </c>
      <c r="F28" s="125">
        <v>2</v>
      </c>
      <c r="G28" s="125">
        <v>0</v>
      </c>
      <c r="H28" s="125">
        <v>0</v>
      </c>
      <c r="I28" s="125">
        <v>0</v>
      </c>
      <c r="J28" s="125">
        <v>0</v>
      </c>
      <c r="K28" s="125">
        <v>0</v>
      </c>
      <c r="L28" s="125">
        <v>0</v>
      </c>
      <c r="M28" s="125">
        <v>1</v>
      </c>
      <c r="N28" s="125">
        <v>2</v>
      </c>
      <c r="O28" s="125">
        <v>1</v>
      </c>
      <c r="P28" s="125">
        <v>0</v>
      </c>
      <c r="Q28" s="125">
        <v>0</v>
      </c>
      <c r="R28" s="125">
        <v>0</v>
      </c>
      <c r="S28" s="125">
        <v>0</v>
      </c>
      <c r="T28" s="125">
        <v>0</v>
      </c>
      <c r="U28" s="125">
        <v>0</v>
      </c>
      <c r="V28" s="125">
        <v>0</v>
      </c>
      <c r="W28" s="125">
        <v>0</v>
      </c>
      <c r="X28" s="125">
        <v>0</v>
      </c>
      <c r="Y28" s="125">
        <v>1</v>
      </c>
      <c r="Z28" s="125">
        <v>0</v>
      </c>
      <c r="AA28" s="125">
        <v>1</v>
      </c>
      <c r="AB28" s="125">
        <v>0</v>
      </c>
      <c r="AC28" s="125">
        <v>1</v>
      </c>
      <c r="AD28" s="125">
        <v>2</v>
      </c>
      <c r="AE28" s="125">
        <v>0</v>
      </c>
      <c r="AF28" s="56"/>
      <c r="AG28" s="63">
        <f t="shared" si="25"/>
        <v>14</v>
      </c>
      <c r="AH28" s="63"/>
      <c r="AI28" s="63">
        <f t="shared" ref="AI28:AI33" si="26">AG28-AH28</f>
        <v>14</v>
      </c>
      <c r="AK28" s="80" t="s">
        <v>34</v>
      </c>
      <c r="AL28" s="81">
        <f>AL13/AL9</f>
        <v>1.2352941176470589</v>
      </c>
      <c r="AM28" s="81">
        <f t="shared" si="24"/>
        <v>1.2</v>
      </c>
      <c r="AN28" s="81">
        <f t="shared" si="24"/>
        <v>1.8235294117647058</v>
      </c>
      <c r="AO28" s="81">
        <f t="shared" si="24"/>
        <v>9</v>
      </c>
      <c r="AP28" s="81">
        <f t="shared" si="24"/>
        <v>1.3571428571428572</v>
      </c>
      <c r="AQ28" s="81">
        <f t="shared" si="24"/>
        <v>1.1875</v>
      </c>
      <c r="AR28" s="81">
        <f t="shared" si="24"/>
        <v>1.0588235294117647</v>
      </c>
      <c r="AS28" s="81">
        <f t="shared" si="24"/>
        <v>1.118421052631579</v>
      </c>
      <c r="AT28" s="81">
        <f t="shared" si="24"/>
        <v>1.303030303030303</v>
      </c>
      <c r="AU28" s="81" t="e">
        <f t="shared" si="24"/>
        <v>#DIV/0!</v>
      </c>
      <c r="AV28" s="81" t="e">
        <f t="shared" si="24"/>
        <v>#DIV/0!</v>
      </c>
      <c r="AW28" s="107">
        <f t="shared" si="24"/>
        <v>1.2552301255230125</v>
      </c>
      <c r="AY28" s="97" t="s">
        <v>46</v>
      </c>
      <c r="AZ28" s="273">
        <v>100</v>
      </c>
      <c r="BA28" s="274"/>
      <c r="BB28" s="109"/>
      <c r="BC28" s="109"/>
      <c r="BF28" s="112"/>
      <c r="BG28" s="112"/>
      <c r="BH28" s="113"/>
      <c r="BI28" s="112"/>
    </row>
    <row r="29" spans="1:61" ht="21.75" thickBot="1">
      <c r="A29" s="55" t="s">
        <v>24</v>
      </c>
      <c r="B29" s="125">
        <v>0</v>
      </c>
      <c r="C29" s="125">
        <v>0</v>
      </c>
      <c r="D29" s="125">
        <v>0</v>
      </c>
      <c r="E29" s="125">
        <v>0</v>
      </c>
      <c r="F29" s="125">
        <v>0</v>
      </c>
      <c r="G29" s="125">
        <v>0</v>
      </c>
      <c r="H29" s="125">
        <v>0</v>
      </c>
      <c r="I29" s="125">
        <v>0</v>
      </c>
      <c r="J29" s="125">
        <v>0</v>
      </c>
      <c r="K29" s="125">
        <v>0</v>
      </c>
      <c r="L29" s="125">
        <v>0</v>
      </c>
      <c r="M29" s="125">
        <v>0</v>
      </c>
      <c r="N29" s="125">
        <v>0</v>
      </c>
      <c r="O29" s="125">
        <v>1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0</v>
      </c>
      <c r="W29" s="125">
        <v>0</v>
      </c>
      <c r="X29" s="125">
        <v>0</v>
      </c>
      <c r="Y29" s="125">
        <v>1</v>
      </c>
      <c r="Z29" s="125">
        <v>0</v>
      </c>
      <c r="AA29" s="125">
        <v>0</v>
      </c>
      <c r="AB29" s="125">
        <v>0</v>
      </c>
      <c r="AC29" s="125">
        <v>0</v>
      </c>
      <c r="AD29" s="125">
        <v>0</v>
      </c>
      <c r="AE29" s="125">
        <v>0</v>
      </c>
      <c r="AF29" s="56"/>
      <c r="AG29" s="63">
        <f t="shared" si="25"/>
        <v>2</v>
      </c>
      <c r="AH29" s="63"/>
      <c r="AI29" s="63">
        <f t="shared" si="26"/>
        <v>2</v>
      </c>
      <c r="AR29" s="82"/>
      <c r="AS29" s="83"/>
      <c r="AT29" s="83"/>
      <c r="AU29" s="82"/>
      <c r="AV29" s="82"/>
      <c r="AY29" s="103" t="s">
        <v>47</v>
      </c>
      <c r="AZ29" s="275">
        <v>50</v>
      </c>
      <c r="BA29" s="276"/>
      <c r="BB29" s="63"/>
      <c r="BC29" s="63"/>
      <c r="BF29" s="112"/>
      <c r="BG29" s="112"/>
      <c r="BH29" s="113"/>
      <c r="BI29" s="114"/>
    </row>
    <row r="30" spans="1:61" ht="21">
      <c r="A30" s="55" t="s">
        <v>26</v>
      </c>
      <c r="B30" s="125">
        <v>0</v>
      </c>
      <c r="C30" s="125">
        <v>0</v>
      </c>
      <c r="D30" s="125">
        <v>0</v>
      </c>
      <c r="E30" s="125">
        <v>1</v>
      </c>
      <c r="F30" s="125">
        <v>0</v>
      </c>
      <c r="G30" s="125">
        <v>0</v>
      </c>
      <c r="H30" s="125">
        <v>0</v>
      </c>
      <c r="I30" s="125">
        <v>0</v>
      </c>
      <c r="J30" s="125">
        <v>0</v>
      </c>
      <c r="K30" s="125">
        <v>0</v>
      </c>
      <c r="L30" s="125">
        <v>0</v>
      </c>
      <c r="M30" s="125">
        <v>0</v>
      </c>
      <c r="N30" s="125">
        <v>0</v>
      </c>
      <c r="O30" s="125">
        <v>0</v>
      </c>
      <c r="P30" s="125">
        <v>0</v>
      </c>
      <c r="Q30" s="125">
        <v>0</v>
      </c>
      <c r="R30" s="125">
        <v>2</v>
      </c>
      <c r="S30" s="125">
        <v>1</v>
      </c>
      <c r="T30" s="125">
        <v>1</v>
      </c>
      <c r="U30" s="125">
        <v>1</v>
      </c>
      <c r="V30" s="125">
        <v>0</v>
      </c>
      <c r="W30" s="125">
        <v>1</v>
      </c>
      <c r="X30" s="125">
        <v>0</v>
      </c>
      <c r="Y30" s="125">
        <v>4</v>
      </c>
      <c r="Z30" s="125">
        <v>0</v>
      </c>
      <c r="AA30" s="125">
        <v>0</v>
      </c>
      <c r="AB30" s="125">
        <v>0</v>
      </c>
      <c r="AC30" s="125">
        <v>1</v>
      </c>
      <c r="AD30" s="125">
        <v>3</v>
      </c>
      <c r="AE30" s="125">
        <v>2</v>
      </c>
      <c r="AF30" s="56"/>
      <c r="AG30" s="63">
        <f t="shared" si="25"/>
        <v>17</v>
      </c>
      <c r="AH30" s="63"/>
      <c r="AI30" s="63">
        <f t="shared" si="26"/>
        <v>17</v>
      </c>
      <c r="AN30" s="82"/>
      <c r="BF30" s="112"/>
      <c r="BG30" s="112"/>
      <c r="BH30" s="113"/>
      <c r="BI30" s="114"/>
    </row>
    <row r="31" spans="1:61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5"/>
        <v>0</v>
      </c>
      <c r="AH31" s="70"/>
      <c r="AI31" s="63">
        <f t="shared" si="26"/>
        <v>0</v>
      </c>
      <c r="AO31" s="82"/>
      <c r="BF31" s="112"/>
      <c r="BG31" s="112"/>
      <c r="BH31" s="113"/>
      <c r="BI31" s="114"/>
    </row>
    <row r="32" spans="1:61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5"/>
        <v>0</v>
      </c>
      <c r="AH32" s="71"/>
      <c r="AI32" s="63">
        <f t="shared" si="26"/>
        <v>0</v>
      </c>
      <c r="AN32" s="82"/>
      <c r="BF32" s="112"/>
      <c r="BG32" s="112"/>
      <c r="BH32" s="113"/>
      <c r="BI32" s="112"/>
    </row>
    <row r="33" spans="1:61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5"/>
        <v>0</v>
      </c>
      <c r="AH33" s="63"/>
      <c r="AI33" s="63">
        <f t="shared" si="26"/>
        <v>0</v>
      </c>
      <c r="AM33" s="82"/>
      <c r="BF33" s="112"/>
      <c r="BG33" s="112"/>
      <c r="BH33" s="113"/>
      <c r="BI33" s="114"/>
    </row>
    <row r="34" spans="1:61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F34" s="112"/>
      <c r="BG34" s="112"/>
      <c r="BH34" s="113"/>
      <c r="BI34" s="114"/>
    </row>
    <row r="35" spans="1:61" ht="21">
      <c r="A35" s="53"/>
      <c r="B35" s="54">
        <v>46174</v>
      </c>
      <c r="C35" s="54">
        <v>46175</v>
      </c>
      <c r="D35" s="54">
        <v>46176</v>
      </c>
      <c r="E35" s="54">
        <v>46177</v>
      </c>
      <c r="F35" s="54">
        <v>46178</v>
      </c>
      <c r="G35" s="54">
        <v>46179</v>
      </c>
      <c r="H35" s="54">
        <v>46180</v>
      </c>
      <c r="I35" s="54">
        <v>46181</v>
      </c>
      <c r="J35" s="54">
        <v>46182</v>
      </c>
      <c r="K35" s="54">
        <v>46183</v>
      </c>
      <c r="L35" s="54">
        <v>46184</v>
      </c>
      <c r="M35" s="54">
        <v>46185</v>
      </c>
      <c r="N35" s="54">
        <v>46186</v>
      </c>
      <c r="O35" s="54">
        <v>46187</v>
      </c>
      <c r="P35" s="54">
        <v>46188</v>
      </c>
      <c r="Q35" s="54">
        <v>46189</v>
      </c>
      <c r="R35" s="54">
        <v>46190</v>
      </c>
      <c r="S35" s="54">
        <v>46191</v>
      </c>
      <c r="T35" s="54">
        <v>46192</v>
      </c>
      <c r="U35" s="54">
        <v>46193</v>
      </c>
      <c r="V35" s="54">
        <v>46194</v>
      </c>
      <c r="W35" s="54">
        <v>46195</v>
      </c>
      <c r="X35" s="54">
        <v>46196</v>
      </c>
      <c r="Y35" s="54">
        <v>46197</v>
      </c>
      <c r="Z35" s="54">
        <v>46198</v>
      </c>
      <c r="AA35" s="54">
        <v>46199</v>
      </c>
      <c r="AB35" s="54">
        <v>46200</v>
      </c>
      <c r="AC35" s="54">
        <v>46201</v>
      </c>
      <c r="AD35" s="54">
        <v>46202</v>
      </c>
      <c r="AE35" s="54">
        <v>46203</v>
      </c>
      <c r="AF35" s="54"/>
      <c r="AG35" s="61" t="s">
        <v>2</v>
      </c>
      <c r="AH35" s="61" t="s">
        <v>49</v>
      </c>
      <c r="AI35" s="62" t="s">
        <v>50</v>
      </c>
      <c r="AM35" s="82"/>
      <c r="BF35" s="112"/>
      <c r="BG35" s="112"/>
      <c r="BH35" s="113"/>
      <c r="BI35" s="116"/>
    </row>
    <row r="36" spans="1:61" ht="21">
      <c r="A36" s="55" t="s">
        <v>5</v>
      </c>
      <c r="B36" s="56">
        <v>27</v>
      </c>
      <c r="C36" s="56">
        <v>21</v>
      </c>
      <c r="D36" s="56">
        <v>20</v>
      </c>
      <c r="E36" s="56">
        <v>20</v>
      </c>
      <c r="F36" s="56">
        <v>23</v>
      </c>
      <c r="G36" s="56">
        <v>21</v>
      </c>
      <c r="H36" s="56">
        <v>12</v>
      </c>
      <c r="I36" s="56">
        <v>23</v>
      </c>
      <c r="J36" s="56">
        <v>12</v>
      </c>
      <c r="K36" s="56">
        <v>15</v>
      </c>
      <c r="L36" s="56">
        <v>16</v>
      </c>
      <c r="M36" s="56">
        <v>23</v>
      </c>
      <c r="N36" s="56">
        <v>22</v>
      </c>
      <c r="O36" s="56">
        <v>16</v>
      </c>
      <c r="P36" s="56">
        <v>11</v>
      </c>
      <c r="Q36" s="56">
        <v>14</v>
      </c>
      <c r="R36" s="56">
        <v>13</v>
      </c>
      <c r="S36" s="56">
        <v>17</v>
      </c>
      <c r="T36" s="56">
        <v>20</v>
      </c>
      <c r="U36" s="56">
        <v>46</v>
      </c>
      <c r="V36" s="56">
        <v>12</v>
      </c>
      <c r="W36" s="56">
        <v>16</v>
      </c>
      <c r="X36" s="56">
        <v>11</v>
      </c>
      <c r="Y36" s="56">
        <v>14</v>
      </c>
      <c r="Z36" s="56">
        <v>17</v>
      </c>
      <c r="AA36" s="56">
        <v>18</v>
      </c>
      <c r="AB36" s="56">
        <v>23</v>
      </c>
      <c r="AC36" s="56">
        <v>10</v>
      </c>
      <c r="AD36" s="56">
        <v>19</v>
      </c>
      <c r="AE36" s="56">
        <v>20</v>
      </c>
      <c r="AF36" s="56"/>
      <c r="AG36" s="63">
        <f>SUM(B36:AF36)</f>
        <v>552</v>
      </c>
      <c r="AH36" s="63"/>
      <c r="AI36" s="63">
        <f>AG36</f>
        <v>552</v>
      </c>
      <c r="AN36" s="82"/>
      <c r="BF36" s="112"/>
      <c r="BG36" s="112"/>
      <c r="BH36" s="113"/>
      <c r="BI36" s="116"/>
    </row>
    <row r="37" spans="1:61" ht="21">
      <c r="A37" s="55" t="s">
        <v>21</v>
      </c>
      <c r="B37" s="56">
        <v>18</v>
      </c>
      <c r="C37" s="56">
        <v>15</v>
      </c>
      <c r="D37" s="56">
        <v>16</v>
      </c>
      <c r="E37" s="56">
        <v>14</v>
      </c>
      <c r="F37" s="56">
        <v>19</v>
      </c>
      <c r="G37" s="56">
        <v>14</v>
      </c>
      <c r="H37" s="56">
        <v>11</v>
      </c>
      <c r="I37" s="56">
        <v>18</v>
      </c>
      <c r="J37" s="56">
        <v>7</v>
      </c>
      <c r="K37" s="56">
        <v>8</v>
      </c>
      <c r="L37" s="56">
        <v>13</v>
      </c>
      <c r="M37" s="56">
        <v>15</v>
      </c>
      <c r="N37" s="56">
        <v>17</v>
      </c>
      <c r="O37" s="56">
        <v>14</v>
      </c>
      <c r="P37" s="56">
        <v>7</v>
      </c>
      <c r="Q37" s="56">
        <v>6</v>
      </c>
      <c r="R37" s="56">
        <v>7</v>
      </c>
      <c r="S37" s="56">
        <v>11</v>
      </c>
      <c r="T37" s="56">
        <v>14</v>
      </c>
      <c r="U37" s="56">
        <v>29</v>
      </c>
      <c r="V37" s="56">
        <v>4</v>
      </c>
      <c r="W37" s="56">
        <v>13</v>
      </c>
      <c r="X37" s="56">
        <v>9</v>
      </c>
      <c r="Y37" s="56">
        <v>9</v>
      </c>
      <c r="Z37" s="56">
        <v>7</v>
      </c>
      <c r="AA37" s="56">
        <v>14</v>
      </c>
      <c r="AB37" s="56">
        <v>16</v>
      </c>
      <c r="AC37" s="56">
        <v>8</v>
      </c>
      <c r="AD37" s="56">
        <v>14</v>
      </c>
      <c r="AE37" s="56">
        <v>14</v>
      </c>
      <c r="AF37" s="56"/>
      <c r="AG37" s="63">
        <f t="shared" ref="AG37:AG44" si="27">SUM(B37:AF37)</f>
        <v>381</v>
      </c>
      <c r="AH37" s="63"/>
      <c r="AI37" s="63">
        <f>AG37+AH39+AH40+AH41</f>
        <v>381</v>
      </c>
      <c r="AM37" s="82"/>
      <c r="AO37" s="82"/>
      <c r="BF37" s="112"/>
      <c r="BG37" s="112"/>
      <c r="BH37" s="113"/>
      <c r="BI37" s="116"/>
    </row>
    <row r="38" spans="1:61" ht="21">
      <c r="A38" s="55" t="s">
        <v>22</v>
      </c>
      <c r="B38" s="125">
        <v>17</v>
      </c>
      <c r="C38" s="125">
        <v>14</v>
      </c>
      <c r="D38" s="125">
        <v>16</v>
      </c>
      <c r="E38" s="125">
        <v>13</v>
      </c>
      <c r="F38" s="125">
        <v>19</v>
      </c>
      <c r="G38" s="125">
        <v>13</v>
      </c>
      <c r="H38" s="125">
        <v>11</v>
      </c>
      <c r="I38" s="125">
        <v>17</v>
      </c>
      <c r="J38" s="125">
        <v>7</v>
      </c>
      <c r="K38" s="125">
        <v>8</v>
      </c>
      <c r="L38" s="125">
        <v>13</v>
      </c>
      <c r="M38" s="125">
        <v>13</v>
      </c>
      <c r="N38" s="125">
        <v>16</v>
      </c>
      <c r="O38" s="125">
        <v>13</v>
      </c>
      <c r="P38" s="125">
        <v>7</v>
      </c>
      <c r="Q38" s="125">
        <v>6</v>
      </c>
      <c r="R38" s="125">
        <v>5</v>
      </c>
      <c r="S38" s="125">
        <v>11</v>
      </c>
      <c r="T38" s="125">
        <v>12</v>
      </c>
      <c r="U38" s="125">
        <v>26</v>
      </c>
      <c r="V38" s="125">
        <v>4</v>
      </c>
      <c r="W38" s="125">
        <v>12</v>
      </c>
      <c r="X38" s="125">
        <v>6</v>
      </c>
      <c r="Y38" s="125">
        <v>8</v>
      </c>
      <c r="Z38" s="125">
        <v>7</v>
      </c>
      <c r="AA38" s="125">
        <v>12</v>
      </c>
      <c r="AB38" s="125">
        <v>13</v>
      </c>
      <c r="AC38" s="125">
        <v>7</v>
      </c>
      <c r="AD38" s="125">
        <v>13</v>
      </c>
      <c r="AE38" s="125">
        <v>12</v>
      </c>
      <c r="AF38" s="56"/>
      <c r="AG38" s="63">
        <f t="shared" si="27"/>
        <v>351</v>
      </c>
      <c r="AH38" s="63"/>
      <c r="AI38" s="63">
        <f>AG38+AH39+AH40+AH41</f>
        <v>351</v>
      </c>
      <c r="AM38" s="82"/>
      <c r="BF38" s="112"/>
      <c r="BG38" s="112"/>
      <c r="BH38" s="116"/>
      <c r="BI38" s="114"/>
    </row>
    <row r="39" spans="1:61" ht="21">
      <c r="A39" s="55" t="s">
        <v>23</v>
      </c>
      <c r="B39" s="125">
        <v>0</v>
      </c>
      <c r="C39" s="125">
        <v>0</v>
      </c>
      <c r="D39" s="125">
        <v>0</v>
      </c>
      <c r="E39" s="125">
        <v>0</v>
      </c>
      <c r="F39" s="125">
        <v>0</v>
      </c>
      <c r="G39" s="125">
        <v>0</v>
      </c>
      <c r="H39" s="125">
        <v>0</v>
      </c>
      <c r="I39" s="125">
        <v>1</v>
      </c>
      <c r="J39" s="125">
        <v>0</v>
      </c>
      <c r="K39" s="125">
        <v>0</v>
      </c>
      <c r="L39" s="125">
        <v>0</v>
      </c>
      <c r="M39" s="125">
        <v>1</v>
      </c>
      <c r="N39" s="125">
        <v>0</v>
      </c>
      <c r="O39" s="125">
        <v>0</v>
      </c>
      <c r="P39" s="125">
        <v>0</v>
      </c>
      <c r="Q39" s="125">
        <v>0</v>
      </c>
      <c r="R39" s="125">
        <v>0</v>
      </c>
      <c r="S39" s="125">
        <v>0</v>
      </c>
      <c r="T39" s="125">
        <v>0</v>
      </c>
      <c r="U39" s="125">
        <v>2</v>
      </c>
      <c r="V39" s="125">
        <v>0</v>
      </c>
      <c r="W39" s="125">
        <v>0</v>
      </c>
      <c r="X39" s="125">
        <v>0</v>
      </c>
      <c r="Y39" s="125">
        <v>0</v>
      </c>
      <c r="Z39" s="125">
        <v>0</v>
      </c>
      <c r="AA39" s="125">
        <v>1</v>
      </c>
      <c r="AB39" s="125">
        <v>2</v>
      </c>
      <c r="AC39" s="125">
        <v>1</v>
      </c>
      <c r="AD39" s="125">
        <v>0</v>
      </c>
      <c r="AE39" s="125">
        <v>0</v>
      </c>
      <c r="AF39" s="56"/>
      <c r="AG39" s="63">
        <f t="shared" si="27"/>
        <v>8</v>
      </c>
      <c r="AH39" s="63"/>
      <c r="AI39" s="63">
        <f t="shared" ref="AI39:AI44" si="28">AG39-AH39</f>
        <v>8</v>
      </c>
      <c r="AM39" s="82"/>
    </row>
    <row r="40" spans="1:61" ht="21">
      <c r="A40" s="55" t="s">
        <v>24</v>
      </c>
      <c r="B40" s="125">
        <v>1</v>
      </c>
      <c r="C40" s="125">
        <v>1</v>
      </c>
      <c r="D40" s="125">
        <v>0</v>
      </c>
      <c r="E40" s="125">
        <v>1</v>
      </c>
      <c r="F40" s="125">
        <v>0</v>
      </c>
      <c r="G40" s="125">
        <v>1</v>
      </c>
      <c r="H40" s="125">
        <v>0</v>
      </c>
      <c r="I40" s="125">
        <v>0</v>
      </c>
      <c r="J40" s="125">
        <v>0</v>
      </c>
      <c r="K40" s="125">
        <v>0</v>
      </c>
      <c r="L40" s="125">
        <v>0</v>
      </c>
      <c r="M40" s="125">
        <v>1</v>
      </c>
      <c r="N40" s="125">
        <v>1</v>
      </c>
      <c r="O40" s="125">
        <v>1</v>
      </c>
      <c r="P40" s="125">
        <v>0</v>
      </c>
      <c r="Q40" s="125">
        <v>0</v>
      </c>
      <c r="R40" s="125">
        <v>1</v>
      </c>
      <c r="S40" s="125">
        <v>0</v>
      </c>
      <c r="T40" s="125">
        <v>2</v>
      </c>
      <c r="U40" s="125">
        <v>1</v>
      </c>
      <c r="V40" s="125">
        <v>0</v>
      </c>
      <c r="W40" s="125">
        <v>1</v>
      </c>
      <c r="X40" s="125">
        <v>3</v>
      </c>
      <c r="Y40" s="125">
        <v>1</v>
      </c>
      <c r="Z40" s="125">
        <v>0</v>
      </c>
      <c r="AA40" s="125">
        <v>1</v>
      </c>
      <c r="AB40" s="125">
        <v>1</v>
      </c>
      <c r="AC40" s="125">
        <v>0</v>
      </c>
      <c r="AD40" s="125">
        <v>1</v>
      </c>
      <c r="AE40" s="125">
        <v>2</v>
      </c>
      <c r="AF40" s="56"/>
      <c r="AG40" s="63">
        <f t="shared" si="27"/>
        <v>21</v>
      </c>
      <c r="AH40" s="63"/>
      <c r="AI40" s="63">
        <f t="shared" si="28"/>
        <v>21</v>
      </c>
      <c r="AN40" s="82"/>
    </row>
    <row r="41" spans="1:61" ht="21">
      <c r="A41" s="55" t="s">
        <v>26</v>
      </c>
      <c r="B41" s="125">
        <v>0</v>
      </c>
      <c r="C41" s="125">
        <v>0</v>
      </c>
      <c r="D41" s="125">
        <v>0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0</v>
      </c>
      <c r="K41" s="125">
        <v>0</v>
      </c>
      <c r="L41" s="125">
        <v>0</v>
      </c>
      <c r="M41" s="125">
        <v>0</v>
      </c>
      <c r="N41" s="125">
        <v>0</v>
      </c>
      <c r="O41" s="125">
        <v>0</v>
      </c>
      <c r="P41" s="125">
        <v>0</v>
      </c>
      <c r="Q41" s="125">
        <v>0</v>
      </c>
      <c r="R41" s="125">
        <v>1</v>
      </c>
      <c r="S41" s="125">
        <v>0</v>
      </c>
      <c r="T41" s="125">
        <v>0</v>
      </c>
      <c r="U41" s="125">
        <v>0</v>
      </c>
      <c r="V41" s="125">
        <v>0</v>
      </c>
      <c r="W41" s="125">
        <v>0</v>
      </c>
      <c r="X41" s="125">
        <v>0</v>
      </c>
      <c r="Y41" s="125">
        <v>0</v>
      </c>
      <c r="Z41" s="125">
        <v>0</v>
      </c>
      <c r="AA41" s="125">
        <v>0</v>
      </c>
      <c r="AB41" s="125">
        <v>0</v>
      </c>
      <c r="AC41" s="125">
        <v>0</v>
      </c>
      <c r="AD41" s="125">
        <v>0</v>
      </c>
      <c r="AE41" s="125">
        <v>0</v>
      </c>
      <c r="AF41" s="56"/>
      <c r="AG41" s="63">
        <f t="shared" si="27"/>
        <v>1</v>
      </c>
      <c r="AH41" s="63"/>
      <c r="AI41" s="63">
        <f t="shared" si="28"/>
        <v>1</v>
      </c>
    </row>
    <row r="42" spans="1:61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7"/>
        <v>0</v>
      </c>
      <c r="AH42" s="70"/>
      <c r="AI42" s="63">
        <f t="shared" si="28"/>
        <v>0</v>
      </c>
    </row>
    <row r="43" spans="1:61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7"/>
        <v>0</v>
      </c>
      <c r="AH43" s="71"/>
      <c r="AI43" s="63">
        <f t="shared" si="28"/>
        <v>0</v>
      </c>
    </row>
    <row r="44" spans="1:61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7"/>
        <v>0</v>
      </c>
      <c r="AH44" s="63"/>
      <c r="AI44" s="63">
        <f t="shared" si="28"/>
        <v>0</v>
      </c>
    </row>
    <row r="45" spans="1:61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1" ht="21">
      <c r="A46" s="53"/>
      <c r="B46" s="54">
        <v>46174</v>
      </c>
      <c r="C46" s="54">
        <v>46175</v>
      </c>
      <c r="D46" s="54">
        <v>46176</v>
      </c>
      <c r="E46" s="54">
        <v>46177</v>
      </c>
      <c r="F46" s="54">
        <v>46178</v>
      </c>
      <c r="G46" s="54">
        <v>46179</v>
      </c>
      <c r="H46" s="54">
        <v>46180</v>
      </c>
      <c r="I46" s="54">
        <v>46181</v>
      </c>
      <c r="J46" s="54">
        <v>46182</v>
      </c>
      <c r="K46" s="54">
        <v>46183</v>
      </c>
      <c r="L46" s="54">
        <v>46184</v>
      </c>
      <c r="M46" s="54">
        <v>46185</v>
      </c>
      <c r="N46" s="54">
        <v>46186</v>
      </c>
      <c r="O46" s="54">
        <v>46187</v>
      </c>
      <c r="P46" s="54">
        <v>46188</v>
      </c>
      <c r="Q46" s="54">
        <v>46189</v>
      </c>
      <c r="R46" s="54">
        <v>46190</v>
      </c>
      <c r="S46" s="54">
        <v>46191</v>
      </c>
      <c r="T46" s="54">
        <v>46192</v>
      </c>
      <c r="U46" s="54">
        <v>46193</v>
      </c>
      <c r="V46" s="54">
        <v>46194</v>
      </c>
      <c r="W46" s="54">
        <v>46195</v>
      </c>
      <c r="X46" s="54">
        <v>46196</v>
      </c>
      <c r="Y46" s="54">
        <v>46197</v>
      </c>
      <c r="Z46" s="54">
        <v>46198</v>
      </c>
      <c r="AA46" s="54">
        <v>46199</v>
      </c>
      <c r="AB46" s="54">
        <v>46200</v>
      </c>
      <c r="AC46" s="54">
        <v>46201</v>
      </c>
      <c r="AD46" s="54">
        <v>46202</v>
      </c>
      <c r="AE46" s="54">
        <v>46203</v>
      </c>
      <c r="AF46" s="54"/>
      <c r="AG46" s="61" t="s">
        <v>2</v>
      </c>
      <c r="AH46" s="61" t="s">
        <v>3</v>
      </c>
      <c r="AI46" s="62" t="s">
        <v>52</v>
      </c>
    </row>
    <row r="47" spans="1:61" ht="21">
      <c r="A47" s="55" t="s">
        <v>5</v>
      </c>
      <c r="B47" s="56">
        <v>15</v>
      </c>
      <c r="C47" s="56">
        <v>10</v>
      </c>
      <c r="D47" s="56">
        <v>13</v>
      </c>
      <c r="E47" s="56">
        <v>13</v>
      </c>
      <c r="F47" s="56">
        <v>16</v>
      </c>
      <c r="G47" s="56">
        <v>28</v>
      </c>
      <c r="H47" s="56">
        <v>15</v>
      </c>
      <c r="I47" s="56">
        <v>16</v>
      </c>
      <c r="J47" s="56">
        <v>20</v>
      </c>
      <c r="K47" s="56">
        <v>15</v>
      </c>
      <c r="L47" s="56">
        <v>15</v>
      </c>
      <c r="M47" s="56">
        <v>20</v>
      </c>
      <c r="N47" s="56">
        <v>28</v>
      </c>
      <c r="O47" s="56">
        <v>21</v>
      </c>
      <c r="P47" s="56">
        <v>11</v>
      </c>
      <c r="Q47" s="56">
        <v>22</v>
      </c>
      <c r="R47" s="56">
        <v>10</v>
      </c>
      <c r="S47" s="56">
        <v>13</v>
      </c>
      <c r="T47" s="56">
        <v>16</v>
      </c>
      <c r="U47" s="56">
        <v>23</v>
      </c>
      <c r="V47" s="56">
        <v>10</v>
      </c>
      <c r="W47" s="56">
        <v>19</v>
      </c>
      <c r="X47" s="56">
        <v>13</v>
      </c>
      <c r="Y47" s="56">
        <v>21</v>
      </c>
      <c r="Z47" s="56">
        <v>11</v>
      </c>
      <c r="AA47" s="56">
        <v>19</v>
      </c>
      <c r="AB47" s="56">
        <v>30</v>
      </c>
      <c r="AC47" s="56">
        <v>14</v>
      </c>
      <c r="AD47" s="56">
        <v>22</v>
      </c>
      <c r="AE47" s="56">
        <v>16</v>
      </c>
      <c r="AF47" s="56"/>
      <c r="AG47" s="63">
        <f>SUM(B47:AF47)</f>
        <v>515</v>
      </c>
      <c r="AH47" s="63"/>
      <c r="AI47" s="63">
        <f>AG47</f>
        <v>515</v>
      </c>
    </row>
    <row r="48" spans="1:61" ht="21">
      <c r="A48" s="55" t="s">
        <v>21</v>
      </c>
      <c r="B48" s="56">
        <v>7</v>
      </c>
      <c r="C48" s="56">
        <v>5</v>
      </c>
      <c r="D48" s="56">
        <v>6</v>
      </c>
      <c r="E48" s="56">
        <v>6</v>
      </c>
      <c r="F48" s="56">
        <v>11</v>
      </c>
      <c r="G48" s="56">
        <v>18</v>
      </c>
      <c r="H48" s="56">
        <v>13</v>
      </c>
      <c r="I48" s="56">
        <v>10</v>
      </c>
      <c r="J48" s="56">
        <v>11</v>
      </c>
      <c r="K48" s="56">
        <v>8</v>
      </c>
      <c r="L48" s="56">
        <v>9</v>
      </c>
      <c r="M48" s="56">
        <v>13</v>
      </c>
      <c r="N48" s="56">
        <v>17</v>
      </c>
      <c r="O48" s="56">
        <v>12</v>
      </c>
      <c r="P48" s="56">
        <v>7</v>
      </c>
      <c r="Q48" s="56">
        <v>15</v>
      </c>
      <c r="R48" s="56">
        <v>3</v>
      </c>
      <c r="S48" s="56">
        <v>6</v>
      </c>
      <c r="T48" s="56">
        <v>10</v>
      </c>
      <c r="U48" s="56">
        <v>11</v>
      </c>
      <c r="V48" s="56">
        <v>4</v>
      </c>
      <c r="W48" s="56">
        <v>13</v>
      </c>
      <c r="X48" s="56">
        <v>9</v>
      </c>
      <c r="Y48" s="56">
        <v>11</v>
      </c>
      <c r="Z48" s="56">
        <v>6</v>
      </c>
      <c r="AA48" s="56">
        <v>7</v>
      </c>
      <c r="AB48" s="56">
        <v>22</v>
      </c>
      <c r="AC48" s="56">
        <v>9</v>
      </c>
      <c r="AD48" s="56">
        <v>16</v>
      </c>
      <c r="AE48" s="56">
        <v>12</v>
      </c>
      <c r="AF48" s="56"/>
      <c r="AG48" s="63">
        <f t="shared" ref="AG48:AG55" si="29">SUM(B48:AF48)</f>
        <v>307</v>
      </c>
      <c r="AH48" s="63"/>
      <c r="AI48" s="63">
        <f>AG48+AH50+AH51+AH52</f>
        <v>307</v>
      </c>
    </row>
    <row r="49" spans="1:35" ht="21">
      <c r="A49" s="55" t="s">
        <v>22</v>
      </c>
      <c r="B49" s="125">
        <v>7</v>
      </c>
      <c r="C49" s="125">
        <v>4</v>
      </c>
      <c r="D49" s="125">
        <v>6</v>
      </c>
      <c r="E49" s="125">
        <v>6</v>
      </c>
      <c r="F49" s="125">
        <v>11</v>
      </c>
      <c r="G49" s="125">
        <v>17</v>
      </c>
      <c r="H49" s="125">
        <v>12</v>
      </c>
      <c r="I49" s="125">
        <v>9</v>
      </c>
      <c r="J49" s="125">
        <v>11</v>
      </c>
      <c r="K49" s="125">
        <v>8</v>
      </c>
      <c r="L49" s="125">
        <v>8</v>
      </c>
      <c r="M49" s="125">
        <v>13</v>
      </c>
      <c r="N49" s="125">
        <v>17</v>
      </c>
      <c r="O49" s="125">
        <v>11</v>
      </c>
      <c r="P49" s="125">
        <v>7</v>
      </c>
      <c r="Q49" s="125">
        <v>13</v>
      </c>
      <c r="R49" s="125">
        <v>3</v>
      </c>
      <c r="S49" s="125">
        <v>6</v>
      </c>
      <c r="T49" s="125">
        <v>9</v>
      </c>
      <c r="U49" s="125">
        <v>10</v>
      </c>
      <c r="V49" s="125">
        <v>4</v>
      </c>
      <c r="W49" s="125">
        <v>11</v>
      </c>
      <c r="X49" s="125">
        <v>8</v>
      </c>
      <c r="Y49" s="125">
        <v>10</v>
      </c>
      <c r="Z49" s="125">
        <v>6</v>
      </c>
      <c r="AA49" s="125">
        <v>7</v>
      </c>
      <c r="AB49" s="125">
        <v>22</v>
      </c>
      <c r="AC49" s="125">
        <v>5</v>
      </c>
      <c r="AD49" s="125">
        <v>14</v>
      </c>
      <c r="AE49" s="125">
        <v>12</v>
      </c>
      <c r="AF49" s="56"/>
      <c r="AG49" s="63">
        <f t="shared" si="29"/>
        <v>287</v>
      </c>
      <c r="AH49" s="63"/>
      <c r="AI49" s="63">
        <f>AG49+AH50+AH51+AH52</f>
        <v>287</v>
      </c>
    </row>
    <row r="50" spans="1:35" ht="21">
      <c r="A50" s="55" t="s">
        <v>23</v>
      </c>
      <c r="B50" s="125">
        <v>0</v>
      </c>
      <c r="C50" s="125">
        <v>0</v>
      </c>
      <c r="D50" s="125">
        <v>0</v>
      </c>
      <c r="E50" s="125">
        <v>0</v>
      </c>
      <c r="F50" s="125">
        <v>0</v>
      </c>
      <c r="G50" s="125">
        <v>1</v>
      </c>
      <c r="H50" s="125">
        <v>0</v>
      </c>
      <c r="I50" s="125">
        <v>0</v>
      </c>
      <c r="J50" s="125">
        <v>0</v>
      </c>
      <c r="K50" s="125">
        <v>0</v>
      </c>
      <c r="L50" s="125">
        <v>0</v>
      </c>
      <c r="M50" s="125">
        <v>0</v>
      </c>
      <c r="N50" s="125">
        <v>0</v>
      </c>
      <c r="O50" s="125">
        <v>1</v>
      </c>
      <c r="P50" s="125">
        <v>0</v>
      </c>
      <c r="Q50" s="125">
        <v>1</v>
      </c>
      <c r="R50" s="125">
        <v>0</v>
      </c>
      <c r="S50" s="125">
        <v>0</v>
      </c>
      <c r="T50" s="125">
        <v>1</v>
      </c>
      <c r="U50" s="125">
        <v>0</v>
      </c>
      <c r="V50" s="125">
        <v>0</v>
      </c>
      <c r="W50" s="125">
        <v>1</v>
      </c>
      <c r="X50" s="125">
        <v>0</v>
      </c>
      <c r="Y50" s="125">
        <v>0</v>
      </c>
      <c r="Z50" s="125">
        <v>0</v>
      </c>
      <c r="AA50" s="125">
        <v>0</v>
      </c>
      <c r="AB50" s="125">
        <v>0</v>
      </c>
      <c r="AC50" s="125">
        <v>0</v>
      </c>
      <c r="AD50" s="125">
        <v>0</v>
      </c>
      <c r="AE50" s="125">
        <v>0</v>
      </c>
      <c r="AF50" s="56"/>
      <c r="AG50" s="63">
        <f t="shared" si="29"/>
        <v>5</v>
      </c>
      <c r="AH50" s="63"/>
      <c r="AI50" s="63">
        <f t="shared" ref="AI50:AI55" si="30">AG50-AH50</f>
        <v>5</v>
      </c>
    </row>
    <row r="51" spans="1:35" ht="21">
      <c r="A51" s="55" t="s">
        <v>24</v>
      </c>
      <c r="B51" s="125">
        <v>0</v>
      </c>
      <c r="C51" s="125">
        <v>0</v>
      </c>
      <c r="D51" s="125">
        <v>0</v>
      </c>
      <c r="E51" s="125">
        <v>0</v>
      </c>
      <c r="F51" s="125">
        <v>0</v>
      </c>
      <c r="G51" s="125">
        <v>0</v>
      </c>
      <c r="H51" s="125">
        <v>0</v>
      </c>
      <c r="I51" s="125">
        <v>1</v>
      </c>
      <c r="J51" s="125">
        <v>0</v>
      </c>
      <c r="K51" s="125">
        <v>0</v>
      </c>
      <c r="L51" s="125">
        <v>0</v>
      </c>
      <c r="M51" s="125">
        <v>0</v>
      </c>
      <c r="N51" s="125">
        <v>0</v>
      </c>
      <c r="O51" s="125">
        <v>0</v>
      </c>
      <c r="P51" s="125">
        <v>0</v>
      </c>
      <c r="Q51" s="125">
        <v>0</v>
      </c>
      <c r="R51" s="125">
        <v>0</v>
      </c>
      <c r="S51" s="125">
        <v>0</v>
      </c>
      <c r="T51" s="125">
        <v>0</v>
      </c>
      <c r="U51" s="125">
        <v>0</v>
      </c>
      <c r="V51" s="125">
        <v>0</v>
      </c>
      <c r="W51" s="125">
        <v>0</v>
      </c>
      <c r="X51" s="125">
        <v>0</v>
      </c>
      <c r="Y51" s="125">
        <v>0</v>
      </c>
      <c r="Z51" s="125">
        <v>0</v>
      </c>
      <c r="AA51" s="125">
        <v>0</v>
      </c>
      <c r="AB51" s="125">
        <v>0</v>
      </c>
      <c r="AC51" s="125">
        <v>0</v>
      </c>
      <c r="AD51" s="125">
        <v>0</v>
      </c>
      <c r="AE51" s="125">
        <v>0</v>
      </c>
      <c r="AF51" s="56"/>
      <c r="AG51" s="63">
        <f t="shared" si="29"/>
        <v>1</v>
      </c>
      <c r="AH51" s="63"/>
      <c r="AI51" s="63">
        <f t="shared" si="30"/>
        <v>1</v>
      </c>
    </row>
    <row r="52" spans="1:35" ht="21">
      <c r="A52" s="55" t="s">
        <v>26</v>
      </c>
      <c r="B52" s="125">
        <v>0</v>
      </c>
      <c r="C52" s="125">
        <v>1</v>
      </c>
      <c r="D52" s="125">
        <v>0</v>
      </c>
      <c r="E52" s="125">
        <v>0</v>
      </c>
      <c r="F52" s="125">
        <v>0</v>
      </c>
      <c r="G52" s="125">
        <v>0</v>
      </c>
      <c r="H52" s="125">
        <v>1</v>
      </c>
      <c r="I52" s="125">
        <v>0</v>
      </c>
      <c r="J52" s="125">
        <v>0</v>
      </c>
      <c r="K52" s="125">
        <v>0</v>
      </c>
      <c r="L52" s="125">
        <v>1</v>
      </c>
      <c r="M52" s="125">
        <v>0</v>
      </c>
      <c r="N52" s="125">
        <v>0</v>
      </c>
      <c r="O52" s="125">
        <v>0</v>
      </c>
      <c r="P52" s="125">
        <v>0</v>
      </c>
      <c r="Q52" s="125">
        <v>1</v>
      </c>
      <c r="R52" s="125">
        <v>0</v>
      </c>
      <c r="S52" s="125">
        <v>0</v>
      </c>
      <c r="T52" s="125">
        <v>0</v>
      </c>
      <c r="U52" s="125">
        <v>1</v>
      </c>
      <c r="V52" s="125">
        <v>0</v>
      </c>
      <c r="W52" s="125">
        <v>1</v>
      </c>
      <c r="X52" s="125">
        <v>1</v>
      </c>
      <c r="Y52" s="125">
        <v>1</v>
      </c>
      <c r="Z52" s="125">
        <v>0</v>
      </c>
      <c r="AA52" s="125">
        <v>0</v>
      </c>
      <c r="AB52" s="125">
        <v>0</v>
      </c>
      <c r="AC52" s="125">
        <v>4</v>
      </c>
      <c r="AD52" s="125">
        <v>2</v>
      </c>
      <c r="AE52" s="125">
        <v>0</v>
      </c>
      <c r="AF52" s="56"/>
      <c r="AG52" s="63">
        <f t="shared" si="29"/>
        <v>14</v>
      </c>
      <c r="AH52" s="63"/>
      <c r="AI52" s="63">
        <f t="shared" si="30"/>
        <v>14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9"/>
        <v>0</v>
      </c>
      <c r="AH53" s="70"/>
      <c r="AI53" s="63">
        <f t="shared" si="30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9"/>
        <v>0</v>
      </c>
      <c r="AH54" s="71"/>
      <c r="AI54" s="63">
        <f t="shared" si="30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9"/>
        <v>0</v>
      </c>
      <c r="AH55" s="63"/>
      <c r="AI55" s="63">
        <f t="shared" si="30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46174</v>
      </c>
      <c r="C57" s="54">
        <v>46175</v>
      </c>
      <c r="D57" s="54">
        <v>46176</v>
      </c>
      <c r="E57" s="54">
        <v>46177</v>
      </c>
      <c r="F57" s="54">
        <v>46178</v>
      </c>
      <c r="G57" s="54">
        <v>46179</v>
      </c>
      <c r="H57" s="54">
        <v>46180</v>
      </c>
      <c r="I57" s="54">
        <v>46181</v>
      </c>
      <c r="J57" s="54">
        <v>46182</v>
      </c>
      <c r="K57" s="54">
        <v>46183</v>
      </c>
      <c r="L57" s="54">
        <v>46184</v>
      </c>
      <c r="M57" s="54">
        <v>46185</v>
      </c>
      <c r="N57" s="54">
        <v>46186</v>
      </c>
      <c r="O57" s="54">
        <v>46187</v>
      </c>
      <c r="P57" s="54">
        <v>46188</v>
      </c>
      <c r="Q57" s="54">
        <v>46189</v>
      </c>
      <c r="R57" s="54">
        <v>46190</v>
      </c>
      <c r="S57" s="54">
        <v>46191</v>
      </c>
      <c r="T57" s="54">
        <v>46192</v>
      </c>
      <c r="U57" s="54">
        <v>46193</v>
      </c>
      <c r="V57" s="54">
        <v>46194</v>
      </c>
      <c r="W57" s="54">
        <v>46195</v>
      </c>
      <c r="X57" s="54">
        <v>46196</v>
      </c>
      <c r="Y57" s="54">
        <v>46197</v>
      </c>
      <c r="Z57" s="54">
        <v>46198</v>
      </c>
      <c r="AA57" s="54">
        <v>46199</v>
      </c>
      <c r="AB57" s="54">
        <v>46200</v>
      </c>
      <c r="AC57" s="54">
        <v>46201</v>
      </c>
      <c r="AD57" s="54">
        <v>46202</v>
      </c>
      <c r="AE57" s="54">
        <v>46203</v>
      </c>
      <c r="AF57" s="54"/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33</v>
      </c>
      <c r="C58" s="56">
        <v>29</v>
      </c>
      <c r="D58" s="56">
        <v>33</v>
      </c>
      <c r="E58" s="56">
        <v>25</v>
      </c>
      <c r="F58" s="56">
        <v>23</v>
      </c>
      <c r="G58" s="56">
        <v>55</v>
      </c>
      <c r="H58" s="56">
        <v>31</v>
      </c>
      <c r="I58" s="56">
        <v>29</v>
      </c>
      <c r="J58" s="56">
        <v>28</v>
      </c>
      <c r="K58" s="56">
        <v>29</v>
      </c>
      <c r="L58" s="56">
        <v>33</v>
      </c>
      <c r="M58" s="56">
        <v>34</v>
      </c>
      <c r="N58" s="56">
        <v>69</v>
      </c>
      <c r="O58" s="56">
        <v>30</v>
      </c>
      <c r="P58" s="56">
        <v>26</v>
      </c>
      <c r="Q58" s="56">
        <v>36</v>
      </c>
      <c r="R58" s="56">
        <v>36</v>
      </c>
      <c r="S58" s="56">
        <v>37</v>
      </c>
      <c r="T58" s="56">
        <v>33</v>
      </c>
      <c r="U58" s="56">
        <v>50</v>
      </c>
      <c r="V58" s="56">
        <v>24</v>
      </c>
      <c r="W58" s="56">
        <v>44</v>
      </c>
      <c r="X58" s="56">
        <v>25</v>
      </c>
      <c r="Y58" s="56">
        <v>36</v>
      </c>
      <c r="Z58" s="56">
        <v>33</v>
      </c>
      <c r="AA58" s="56">
        <v>41</v>
      </c>
      <c r="AB58" s="56">
        <v>45</v>
      </c>
      <c r="AC58" s="56">
        <v>26</v>
      </c>
      <c r="AD58" s="56">
        <v>27</v>
      </c>
      <c r="AE58" s="56">
        <v>33</v>
      </c>
      <c r="AF58" s="56"/>
      <c r="AG58" s="63">
        <f>SUM(B58:AF58)</f>
        <v>1033</v>
      </c>
      <c r="AH58" s="63"/>
      <c r="AI58" s="63">
        <f>AG58</f>
        <v>1033</v>
      </c>
    </row>
    <row r="59" spans="1:35" ht="21">
      <c r="A59" s="55" t="s">
        <v>21</v>
      </c>
      <c r="B59" s="56">
        <v>17</v>
      </c>
      <c r="C59" s="56">
        <v>16</v>
      </c>
      <c r="D59" s="56">
        <v>12</v>
      </c>
      <c r="E59" s="56">
        <v>16</v>
      </c>
      <c r="F59" s="56">
        <v>14</v>
      </c>
      <c r="G59" s="56">
        <v>32</v>
      </c>
      <c r="H59" s="56">
        <v>17</v>
      </c>
      <c r="I59" s="56">
        <v>16</v>
      </c>
      <c r="J59" s="56">
        <v>15</v>
      </c>
      <c r="K59" s="56">
        <v>9</v>
      </c>
      <c r="L59" s="56">
        <v>19</v>
      </c>
      <c r="M59" s="56">
        <v>18</v>
      </c>
      <c r="N59" s="56">
        <v>39</v>
      </c>
      <c r="O59" s="56">
        <v>16</v>
      </c>
      <c r="P59" s="56">
        <v>12</v>
      </c>
      <c r="Q59" s="56">
        <v>20</v>
      </c>
      <c r="R59" s="56">
        <v>12</v>
      </c>
      <c r="S59" s="56">
        <v>17</v>
      </c>
      <c r="T59" s="56">
        <v>15</v>
      </c>
      <c r="U59" s="56">
        <v>29</v>
      </c>
      <c r="V59" s="56">
        <v>9</v>
      </c>
      <c r="W59" s="56">
        <v>16</v>
      </c>
      <c r="X59" s="56">
        <v>18</v>
      </c>
      <c r="Y59" s="56">
        <v>15</v>
      </c>
      <c r="Z59" s="56">
        <v>18</v>
      </c>
      <c r="AA59" s="56">
        <v>20</v>
      </c>
      <c r="AB59" s="56">
        <v>26</v>
      </c>
      <c r="AC59" s="56">
        <v>11</v>
      </c>
      <c r="AD59" s="56">
        <v>11</v>
      </c>
      <c r="AE59" s="56">
        <v>12</v>
      </c>
      <c r="AF59" s="56"/>
      <c r="AG59" s="63">
        <f t="shared" ref="AG59:AG66" si="31">SUM(B59:AF59)</f>
        <v>517</v>
      </c>
      <c r="AH59" s="63"/>
      <c r="AI59" s="63">
        <f>AG59+AH61+AH62+AH63</f>
        <v>517</v>
      </c>
    </row>
    <row r="60" spans="1:35" ht="21">
      <c r="A60" s="55" t="s">
        <v>22</v>
      </c>
      <c r="B60" s="125">
        <v>17</v>
      </c>
      <c r="C60" s="125">
        <v>16</v>
      </c>
      <c r="D60" s="125">
        <v>12</v>
      </c>
      <c r="E60" s="125">
        <v>15</v>
      </c>
      <c r="F60" s="125">
        <v>14</v>
      </c>
      <c r="G60" s="125">
        <v>31</v>
      </c>
      <c r="H60" s="125">
        <v>14</v>
      </c>
      <c r="I60" s="125">
        <v>14</v>
      </c>
      <c r="J60" s="125">
        <v>12</v>
      </c>
      <c r="K60" s="125">
        <v>9</v>
      </c>
      <c r="L60" s="125">
        <v>18</v>
      </c>
      <c r="M60" s="125">
        <v>17</v>
      </c>
      <c r="N60" s="125">
        <v>35</v>
      </c>
      <c r="O60" s="125">
        <v>16</v>
      </c>
      <c r="P60" s="125">
        <v>12</v>
      </c>
      <c r="Q60" s="125">
        <v>17</v>
      </c>
      <c r="R60" s="125">
        <v>11</v>
      </c>
      <c r="S60" s="125">
        <v>16</v>
      </c>
      <c r="T60" s="125">
        <v>15</v>
      </c>
      <c r="U60" s="125">
        <v>27</v>
      </c>
      <c r="V60" s="125">
        <v>9</v>
      </c>
      <c r="W60" s="125">
        <v>16</v>
      </c>
      <c r="X60" s="125">
        <v>13</v>
      </c>
      <c r="Y60" s="125">
        <v>13</v>
      </c>
      <c r="Z60" s="125">
        <v>16</v>
      </c>
      <c r="AA60" s="125">
        <v>17</v>
      </c>
      <c r="AB60" s="125">
        <v>24</v>
      </c>
      <c r="AC60" s="125">
        <v>11</v>
      </c>
      <c r="AD60" s="125">
        <v>11</v>
      </c>
      <c r="AE60" s="125">
        <v>11</v>
      </c>
      <c r="AF60" s="56"/>
      <c r="AG60" s="63">
        <f t="shared" si="31"/>
        <v>479</v>
      </c>
      <c r="AH60" s="63"/>
      <c r="AI60" s="63">
        <f>AG60+AH61+AH62+AH63</f>
        <v>479</v>
      </c>
    </row>
    <row r="61" spans="1:35" ht="21">
      <c r="A61" s="55" t="s">
        <v>23</v>
      </c>
      <c r="B61" s="125">
        <v>0</v>
      </c>
      <c r="C61" s="125">
        <v>0</v>
      </c>
      <c r="D61" s="125">
        <v>0</v>
      </c>
      <c r="E61" s="125">
        <v>0</v>
      </c>
      <c r="F61" s="125">
        <v>0</v>
      </c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1</v>
      </c>
      <c r="O61" s="125">
        <v>0</v>
      </c>
      <c r="P61" s="125">
        <v>0</v>
      </c>
      <c r="Q61" s="125">
        <v>0</v>
      </c>
      <c r="R61" s="125">
        <v>0</v>
      </c>
      <c r="S61" s="125">
        <v>1</v>
      </c>
      <c r="T61" s="125">
        <v>0</v>
      </c>
      <c r="U61" s="125">
        <v>0</v>
      </c>
      <c r="V61" s="125">
        <v>0</v>
      </c>
      <c r="W61" s="125">
        <v>0</v>
      </c>
      <c r="X61" s="125">
        <v>2</v>
      </c>
      <c r="Y61" s="125">
        <v>1</v>
      </c>
      <c r="Z61" s="125">
        <v>1</v>
      </c>
      <c r="AA61" s="125">
        <v>0</v>
      </c>
      <c r="AB61" s="125">
        <v>0</v>
      </c>
      <c r="AC61" s="125">
        <v>0</v>
      </c>
      <c r="AD61" s="125">
        <v>0</v>
      </c>
      <c r="AE61" s="125">
        <v>0</v>
      </c>
      <c r="AF61" s="56"/>
      <c r="AG61" s="63">
        <f t="shared" si="31"/>
        <v>6</v>
      </c>
      <c r="AH61" s="63"/>
      <c r="AI61" s="63">
        <f t="shared" ref="AI61:AI66" si="32">AG61-AH61</f>
        <v>6</v>
      </c>
    </row>
    <row r="62" spans="1:35" ht="21">
      <c r="A62" s="55" t="s">
        <v>24</v>
      </c>
      <c r="B62" s="125">
        <v>0</v>
      </c>
      <c r="C62" s="125">
        <v>0</v>
      </c>
      <c r="D62" s="125">
        <v>0</v>
      </c>
      <c r="E62" s="125">
        <v>0</v>
      </c>
      <c r="F62" s="125">
        <v>0</v>
      </c>
      <c r="G62" s="125">
        <v>0</v>
      </c>
      <c r="H62" s="125">
        <v>0</v>
      </c>
      <c r="I62" s="125">
        <v>0</v>
      </c>
      <c r="J62" s="125">
        <v>1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25">
        <v>0</v>
      </c>
      <c r="X62" s="125">
        <v>0</v>
      </c>
      <c r="Y62" s="125">
        <v>0</v>
      </c>
      <c r="Z62" s="125">
        <v>0</v>
      </c>
      <c r="AA62" s="125">
        <v>1</v>
      </c>
      <c r="AB62" s="125">
        <v>0</v>
      </c>
      <c r="AC62" s="125">
        <v>0</v>
      </c>
      <c r="AD62" s="125">
        <v>0</v>
      </c>
      <c r="AE62" s="125">
        <v>0</v>
      </c>
      <c r="AF62" s="56"/>
      <c r="AG62" s="63">
        <f t="shared" si="31"/>
        <v>2</v>
      </c>
      <c r="AH62" s="63"/>
      <c r="AI62" s="63">
        <f t="shared" si="32"/>
        <v>2</v>
      </c>
    </row>
    <row r="63" spans="1:35" ht="21">
      <c r="A63" s="55" t="s">
        <v>26</v>
      </c>
      <c r="B63" s="125">
        <v>0</v>
      </c>
      <c r="C63" s="125">
        <v>0</v>
      </c>
      <c r="D63" s="125">
        <v>0</v>
      </c>
      <c r="E63" s="125">
        <v>1</v>
      </c>
      <c r="F63" s="125">
        <v>0</v>
      </c>
      <c r="G63" s="125">
        <v>1</v>
      </c>
      <c r="H63" s="125">
        <v>3</v>
      </c>
      <c r="I63" s="125">
        <v>2</v>
      </c>
      <c r="J63" s="125">
        <v>2</v>
      </c>
      <c r="K63" s="125">
        <v>2</v>
      </c>
      <c r="L63" s="125">
        <v>1</v>
      </c>
      <c r="M63" s="125">
        <v>1</v>
      </c>
      <c r="N63" s="125">
        <v>3</v>
      </c>
      <c r="O63" s="125">
        <v>0</v>
      </c>
      <c r="P63" s="125">
        <v>0</v>
      </c>
      <c r="Q63" s="125">
        <v>3</v>
      </c>
      <c r="R63" s="125">
        <v>1</v>
      </c>
      <c r="S63" s="125">
        <v>0</v>
      </c>
      <c r="T63" s="125">
        <v>0</v>
      </c>
      <c r="U63" s="125">
        <v>2</v>
      </c>
      <c r="V63" s="125">
        <v>0</v>
      </c>
      <c r="W63" s="125">
        <v>0</v>
      </c>
      <c r="X63" s="125">
        <v>3</v>
      </c>
      <c r="Y63" s="125">
        <v>1</v>
      </c>
      <c r="Z63" s="125">
        <v>1</v>
      </c>
      <c r="AA63" s="125">
        <v>2</v>
      </c>
      <c r="AB63" s="125">
        <v>2</v>
      </c>
      <c r="AC63" s="125">
        <v>0</v>
      </c>
      <c r="AD63" s="125">
        <v>0</v>
      </c>
      <c r="AE63" s="125">
        <v>1</v>
      </c>
      <c r="AF63" s="56"/>
      <c r="AG63" s="63">
        <f t="shared" si="31"/>
        <v>32</v>
      </c>
      <c r="AH63" s="63"/>
      <c r="AI63" s="63">
        <f t="shared" si="32"/>
        <v>32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1"/>
        <v>0</v>
      </c>
      <c r="AH64" s="70"/>
      <c r="AI64" s="63">
        <f t="shared" si="32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1"/>
        <v>0</v>
      </c>
      <c r="AH65" s="71"/>
      <c r="AI65" s="63">
        <f t="shared" si="32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1"/>
        <v>0</v>
      </c>
      <c r="AH66" s="63"/>
      <c r="AI66" s="63">
        <f t="shared" si="32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46174</v>
      </c>
      <c r="C68" s="54">
        <v>46175</v>
      </c>
      <c r="D68" s="54">
        <v>46176</v>
      </c>
      <c r="E68" s="54">
        <v>46177</v>
      </c>
      <c r="F68" s="54">
        <v>46178</v>
      </c>
      <c r="G68" s="54">
        <v>46179</v>
      </c>
      <c r="H68" s="54">
        <v>46180</v>
      </c>
      <c r="I68" s="54">
        <v>46181</v>
      </c>
      <c r="J68" s="54">
        <v>46182</v>
      </c>
      <c r="K68" s="54">
        <v>46183</v>
      </c>
      <c r="L68" s="54">
        <v>46184</v>
      </c>
      <c r="M68" s="54">
        <v>46185</v>
      </c>
      <c r="N68" s="54">
        <v>46186</v>
      </c>
      <c r="O68" s="54">
        <v>46187</v>
      </c>
      <c r="P68" s="54">
        <v>46188</v>
      </c>
      <c r="Q68" s="54">
        <v>46189</v>
      </c>
      <c r="R68" s="54">
        <v>46190</v>
      </c>
      <c r="S68" s="54">
        <v>46191</v>
      </c>
      <c r="T68" s="54">
        <v>46192</v>
      </c>
      <c r="U68" s="54">
        <v>46193</v>
      </c>
      <c r="V68" s="54">
        <v>46194</v>
      </c>
      <c r="W68" s="54">
        <v>46195</v>
      </c>
      <c r="X68" s="54">
        <v>46196</v>
      </c>
      <c r="Y68" s="54">
        <v>46197</v>
      </c>
      <c r="Z68" s="54">
        <v>46198</v>
      </c>
      <c r="AA68" s="54">
        <v>46199</v>
      </c>
      <c r="AB68" s="54">
        <v>46200</v>
      </c>
      <c r="AC68" s="54">
        <v>46201</v>
      </c>
      <c r="AD68" s="54">
        <v>46202</v>
      </c>
      <c r="AE68" s="54">
        <v>46203</v>
      </c>
      <c r="AF68" s="54"/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>
        <v>30</v>
      </c>
      <c r="C69" s="56">
        <v>21</v>
      </c>
      <c r="D69" s="56">
        <v>24</v>
      </c>
      <c r="E69" s="56">
        <v>19</v>
      </c>
      <c r="F69" s="56">
        <v>20</v>
      </c>
      <c r="G69" s="56">
        <v>35</v>
      </c>
      <c r="H69" s="56">
        <v>25</v>
      </c>
      <c r="I69" s="56">
        <v>14</v>
      </c>
      <c r="J69" s="56">
        <v>21</v>
      </c>
      <c r="K69" s="56">
        <v>20</v>
      </c>
      <c r="L69" s="56">
        <v>29</v>
      </c>
      <c r="M69" s="56">
        <v>25</v>
      </c>
      <c r="N69" s="56">
        <v>64</v>
      </c>
      <c r="O69" s="56">
        <v>28</v>
      </c>
      <c r="P69" s="56">
        <v>33</v>
      </c>
      <c r="Q69" s="56">
        <v>20</v>
      </c>
      <c r="R69" s="56">
        <v>21</v>
      </c>
      <c r="S69" s="56">
        <v>20</v>
      </c>
      <c r="T69" s="56">
        <v>25</v>
      </c>
      <c r="U69" s="56">
        <v>63</v>
      </c>
      <c r="V69" s="56">
        <v>21</v>
      </c>
      <c r="W69" s="56">
        <v>21</v>
      </c>
      <c r="X69" s="56">
        <v>31</v>
      </c>
      <c r="Y69" s="56">
        <v>21</v>
      </c>
      <c r="Z69" s="56">
        <v>23</v>
      </c>
      <c r="AA69" s="56">
        <v>35</v>
      </c>
      <c r="AB69" s="56">
        <v>61</v>
      </c>
      <c r="AC69" s="56">
        <v>16</v>
      </c>
      <c r="AD69" s="56">
        <v>22</v>
      </c>
      <c r="AE69" s="56">
        <v>38</v>
      </c>
      <c r="AF69" s="56"/>
      <c r="AG69" s="63">
        <f>SUM(B69:AF69)</f>
        <v>846</v>
      </c>
      <c r="AH69" s="63"/>
      <c r="AI69" s="63">
        <f>AG69</f>
        <v>846</v>
      </c>
    </row>
    <row r="70" spans="1:35" ht="21">
      <c r="A70" s="55" t="s">
        <v>21</v>
      </c>
      <c r="B70" s="56">
        <v>14</v>
      </c>
      <c r="C70" s="56">
        <v>11</v>
      </c>
      <c r="D70" s="56">
        <v>10</v>
      </c>
      <c r="E70" s="56">
        <v>5</v>
      </c>
      <c r="F70" s="56">
        <v>0</v>
      </c>
      <c r="G70" s="56">
        <v>0</v>
      </c>
      <c r="H70" s="56">
        <v>9</v>
      </c>
      <c r="I70" s="56">
        <v>7</v>
      </c>
      <c r="J70" s="56">
        <v>10</v>
      </c>
      <c r="K70" s="56">
        <v>12</v>
      </c>
      <c r="L70" s="56">
        <v>17</v>
      </c>
      <c r="M70" s="56">
        <v>21</v>
      </c>
      <c r="N70" s="56">
        <v>37</v>
      </c>
      <c r="O70" s="56">
        <v>14</v>
      </c>
      <c r="P70" s="56">
        <v>20</v>
      </c>
      <c r="Q70" s="56">
        <v>5</v>
      </c>
      <c r="R70" s="56">
        <v>12</v>
      </c>
      <c r="S70" s="56">
        <v>11</v>
      </c>
      <c r="T70" s="56">
        <v>15</v>
      </c>
      <c r="U70" s="56">
        <v>24</v>
      </c>
      <c r="V70" s="56">
        <v>7</v>
      </c>
      <c r="W70" s="56">
        <v>9</v>
      </c>
      <c r="X70" s="56">
        <v>20</v>
      </c>
      <c r="Y70" s="56">
        <v>11</v>
      </c>
      <c r="Z70" s="56">
        <v>13</v>
      </c>
      <c r="AA70" s="56">
        <v>14</v>
      </c>
      <c r="AB70" s="56">
        <v>34</v>
      </c>
      <c r="AC70" s="56">
        <v>4</v>
      </c>
      <c r="AD70" s="56">
        <v>7</v>
      </c>
      <c r="AE70" s="56">
        <v>20</v>
      </c>
      <c r="AF70" s="56"/>
      <c r="AG70" s="63">
        <f t="shared" ref="AG70:AG77" si="33">SUM(B70:AF70)</f>
        <v>393</v>
      </c>
      <c r="AH70" s="63"/>
      <c r="AI70" s="63">
        <f>AG70+AH72+AH73+AH74</f>
        <v>393</v>
      </c>
    </row>
    <row r="71" spans="1:35" ht="21">
      <c r="A71" s="55" t="s">
        <v>22</v>
      </c>
      <c r="B71" s="125">
        <v>13</v>
      </c>
      <c r="C71" s="125">
        <v>10</v>
      </c>
      <c r="D71" s="125">
        <v>7</v>
      </c>
      <c r="E71" s="125">
        <v>5</v>
      </c>
      <c r="F71" s="125">
        <v>0</v>
      </c>
      <c r="G71" s="125">
        <v>0</v>
      </c>
      <c r="H71" s="125">
        <v>9</v>
      </c>
      <c r="I71" s="125">
        <v>7</v>
      </c>
      <c r="J71" s="125">
        <v>10</v>
      </c>
      <c r="K71" s="125">
        <v>11</v>
      </c>
      <c r="L71" s="125">
        <v>14</v>
      </c>
      <c r="M71" s="125">
        <v>19</v>
      </c>
      <c r="N71" s="125">
        <v>34</v>
      </c>
      <c r="O71" s="125">
        <v>14</v>
      </c>
      <c r="P71" s="125">
        <v>18</v>
      </c>
      <c r="Q71" s="125">
        <v>4</v>
      </c>
      <c r="R71" s="125">
        <v>12</v>
      </c>
      <c r="S71" s="125">
        <v>11</v>
      </c>
      <c r="T71" s="125">
        <v>14</v>
      </c>
      <c r="U71" s="125">
        <v>21</v>
      </c>
      <c r="V71" s="125">
        <v>6</v>
      </c>
      <c r="W71" s="125">
        <v>9</v>
      </c>
      <c r="X71" s="125">
        <v>16</v>
      </c>
      <c r="Y71" s="125">
        <v>8</v>
      </c>
      <c r="Z71" s="125">
        <v>12</v>
      </c>
      <c r="AA71" s="125">
        <v>14</v>
      </c>
      <c r="AB71" s="125">
        <v>32</v>
      </c>
      <c r="AC71" s="125">
        <v>3</v>
      </c>
      <c r="AD71" s="125">
        <v>5</v>
      </c>
      <c r="AE71" s="125">
        <v>19</v>
      </c>
      <c r="AF71" s="56"/>
      <c r="AG71" s="63">
        <f t="shared" si="33"/>
        <v>357</v>
      </c>
      <c r="AH71" s="63"/>
      <c r="AI71" s="63">
        <f>AG71+AH72+AH73+AH74</f>
        <v>357</v>
      </c>
    </row>
    <row r="72" spans="1:35" ht="21">
      <c r="A72" s="55" t="s">
        <v>23</v>
      </c>
      <c r="B72" s="125">
        <v>0</v>
      </c>
      <c r="C72" s="125">
        <v>1</v>
      </c>
      <c r="D72" s="125">
        <v>0</v>
      </c>
      <c r="E72" s="125">
        <v>0</v>
      </c>
      <c r="F72" s="125">
        <v>0</v>
      </c>
      <c r="G72" s="125">
        <v>0</v>
      </c>
      <c r="H72" s="125">
        <v>0</v>
      </c>
      <c r="I72" s="125">
        <v>0</v>
      </c>
      <c r="J72" s="125">
        <v>0</v>
      </c>
      <c r="K72" s="125">
        <v>0</v>
      </c>
      <c r="L72" s="125">
        <v>0</v>
      </c>
      <c r="M72" s="125">
        <v>0</v>
      </c>
      <c r="N72" s="125">
        <v>0</v>
      </c>
      <c r="O72" s="125">
        <v>0</v>
      </c>
      <c r="P72" s="125">
        <v>0</v>
      </c>
      <c r="Q72" s="125">
        <v>0</v>
      </c>
      <c r="R72" s="125">
        <v>0</v>
      </c>
      <c r="S72" s="125">
        <v>0</v>
      </c>
      <c r="T72" s="125">
        <v>0</v>
      </c>
      <c r="U72" s="125">
        <v>0</v>
      </c>
      <c r="V72" s="125">
        <v>0</v>
      </c>
      <c r="W72" s="125">
        <v>0</v>
      </c>
      <c r="X72" s="125">
        <v>0</v>
      </c>
      <c r="Y72" s="125">
        <v>0</v>
      </c>
      <c r="Z72" s="125">
        <v>0</v>
      </c>
      <c r="AA72" s="125">
        <v>0</v>
      </c>
      <c r="AB72" s="125">
        <v>1</v>
      </c>
      <c r="AC72" s="125">
        <v>0</v>
      </c>
      <c r="AD72" s="125">
        <v>0</v>
      </c>
      <c r="AE72" s="125">
        <v>0</v>
      </c>
      <c r="AF72" s="56"/>
      <c r="AG72" s="63">
        <f t="shared" si="33"/>
        <v>2</v>
      </c>
      <c r="AH72" s="63"/>
      <c r="AI72" s="63">
        <f t="shared" ref="AI72:AI77" si="34">AG72-AH72</f>
        <v>2</v>
      </c>
    </row>
    <row r="73" spans="1:35" ht="21">
      <c r="A73" s="55" t="s">
        <v>24</v>
      </c>
      <c r="B73" s="125">
        <v>0</v>
      </c>
      <c r="C73" s="125">
        <v>0</v>
      </c>
      <c r="D73" s="125">
        <v>0</v>
      </c>
      <c r="E73" s="125">
        <v>0</v>
      </c>
      <c r="F73" s="125">
        <v>0</v>
      </c>
      <c r="G73" s="125">
        <v>0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0</v>
      </c>
      <c r="Q73" s="125">
        <v>0</v>
      </c>
      <c r="R73" s="125">
        <v>0</v>
      </c>
      <c r="S73" s="125">
        <v>0</v>
      </c>
      <c r="T73" s="125">
        <v>0</v>
      </c>
      <c r="U73" s="125">
        <v>0</v>
      </c>
      <c r="V73" s="125">
        <v>0</v>
      </c>
      <c r="W73" s="125">
        <v>0</v>
      </c>
      <c r="X73" s="125">
        <v>0</v>
      </c>
      <c r="Y73" s="125">
        <v>0</v>
      </c>
      <c r="Z73" s="125">
        <v>0</v>
      </c>
      <c r="AA73" s="125">
        <v>0</v>
      </c>
      <c r="AB73" s="125">
        <v>0</v>
      </c>
      <c r="AC73" s="125">
        <v>0</v>
      </c>
      <c r="AD73" s="125">
        <v>0</v>
      </c>
      <c r="AE73" s="125">
        <v>0</v>
      </c>
      <c r="AF73" s="56"/>
      <c r="AG73" s="63">
        <f t="shared" si="33"/>
        <v>0</v>
      </c>
      <c r="AH73" s="63"/>
      <c r="AI73" s="63">
        <f t="shared" si="34"/>
        <v>0</v>
      </c>
    </row>
    <row r="74" spans="1:35" ht="21">
      <c r="A74" s="55" t="s">
        <v>26</v>
      </c>
      <c r="B74" s="125">
        <v>1</v>
      </c>
      <c r="C74" s="125">
        <v>0</v>
      </c>
      <c r="D74" s="125">
        <v>3</v>
      </c>
      <c r="E74" s="125">
        <v>0</v>
      </c>
      <c r="F74" s="125">
        <v>0</v>
      </c>
      <c r="G74" s="125">
        <v>0</v>
      </c>
      <c r="H74" s="125">
        <v>0</v>
      </c>
      <c r="I74" s="125">
        <v>0</v>
      </c>
      <c r="J74" s="125">
        <v>0</v>
      </c>
      <c r="K74" s="125">
        <v>1</v>
      </c>
      <c r="L74" s="125">
        <v>3</v>
      </c>
      <c r="M74" s="125">
        <v>2</v>
      </c>
      <c r="N74" s="125">
        <v>3</v>
      </c>
      <c r="O74" s="125">
        <v>0</v>
      </c>
      <c r="P74" s="125">
        <v>2</v>
      </c>
      <c r="Q74" s="125">
        <v>1</v>
      </c>
      <c r="R74" s="125">
        <v>0</v>
      </c>
      <c r="S74" s="125">
        <v>0</v>
      </c>
      <c r="T74" s="125">
        <v>1</v>
      </c>
      <c r="U74" s="125">
        <v>3</v>
      </c>
      <c r="V74" s="125">
        <v>1</v>
      </c>
      <c r="W74" s="125">
        <v>0</v>
      </c>
      <c r="X74" s="125">
        <v>4</v>
      </c>
      <c r="Y74" s="125">
        <v>3</v>
      </c>
      <c r="Z74" s="125">
        <v>1</v>
      </c>
      <c r="AA74" s="125">
        <v>0</v>
      </c>
      <c r="AB74" s="125">
        <v>1</v>
      </c>
      <c r="AC74" s="125">
        <v>1</v>
      </c>
      <c r="AD74" s="125">
        <v>2</v>
      </c>
      <c r="AE74" s="125">
        <v>1</v>
      </c>
      <c r="AF74" s="56"/>
      <c r="AG74" s="63">
        <f t="shared" si="33"/>
        <v>34</v>
      </c>
      <c r="AH74" s="63"/>
      <c r="AI74" s="63">
        <f t="shared" si="34"/>
        <v>34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3"/>
        <v>0</v>
      </c>
      <c r="AH75" s="70"/>
      <c r="AI75" s="63">
        <f t="shared" si="34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3"/>
        <v>0</v>
      </c>
      <c r="AH76" s="71"/>
      <c r="AI76" s="63">
        <f t="shared" si="34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3"/>
        <v>0</v>
      </c>
      <c r="AH77" s="63"/>
      <c r="AI77" s="63">
        <f t="shared" si="34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46174</v>
      </c>
      <c r="C79" s="54">
        <v>46175</v>
      </c>
      <c r="D79" s="54">
        <v>46176</v>
      </c>
      <c r="E79" s="54">
        <v>46177</v>
      </c>
      <c r="F79" s="54">
        <v>46178</v>
      </c>
      <c r="G79" s="54">
        <v>46179</v>
      </c>
      <c r="H79" s="54">
        <v>46180</v>
      </c>
      <c r="I79" s="54">
        <v>46181</v>
      </c>
      <c r="J79" s="54">
        <v>46182</v>
      </c>
      <c r="K79" s="54">
        <v>46183</v>
      </c>
      <c r="L79" s="54">
        <v>46184</v>
      </c>
      <c r="M79" s="54">
        <v>46185</v>
      </c>
      <c r="N79" s="54">
        <v>46186</v>
      </c>
      <c r="O79" s="54">
        <v>46187</v>
      </c>
      <c r="P79" s="54">
        <v>46188</v>
      </c>
      <c r="Q79" s="54">
        <v>46189</v>
      </c>
      <c r="R79" s="54">
        <v>46190</v>
      </c>
      <c r="S79" s="54">
        <v>46191</v>
      </c>
      <c r="T79" s="54">
        <v>46192</v>
      </c>
      <c r="U79" s="54">
        <v>46193</v>
      </c>
      <c r="V79" s="54">
        <v>46194</v>
      </c>
      <c r="W79" s="54">
        <v>46195</v>
      </c>
      <c r="X79" s="54">
        <v>46196</v>
      </c>
      <c r="Y79" s="54">
        <v>46197</v>
      </c>
      <c r="Z79" s="54">
        <v>46198</v>
      </c>
      <c r="AA79" s="54">
        <v>46199</v>
      </c>
      <c r="AB79" s="54">
        <v>46200</v>
      </c>
      <c r="AC79" s="54">
        <v>46201</v>
      </c>
      <c r="AD79" s="54">
        <v>46202</v>
      </c>
      <c r="AE79" s="54">
        <v>46203</v>
      </c>
      <c r="AF79" s="54"/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>
        <v>30</v>
      </c>
      <c r="C80" s="56">
        <v>25</v>
      </c>
      <c r="D80" s="56">
        <v>23</v>
      </c>
      <c r="E80" s="56">
        <v>25</v>
      </c>
      <c r="F80" s="56">
        <v>35</v>
      </c>
      <c r="G80" s="56">
        <v>55</v>
      </c>
      <c r="H80" s="56">
        <v>45</v>
      </c>
      <c r="I80" s="56">
        <v>34</v>
      </c>
      <c r="J80" s="56">
        <v>27</v>
      </c>
      <c r="K80" s="56">
        <v>31</v>
      </c>
      <c r="L80" s="56">
        <v>18</v>
      </c>
      <c r="M80" s="56">
        <v>33</v>
      </c>
      <c r="N80" s="56">
        <v>63</v>
      </c>
      <c r="O80" s="56">
        <v>36</v>
      </c>
      <c r="P80" s="56">
        <v>33</v>
      </c>
      <c r="Q80" s="56">
        <v>23</v>
      </c>
      <c r="R80" s="56">
        <v>29</v>
      </c>
      <c r="S80" s="56">
        <v>23</v>
      </c>
      <c r="T80" s="56">
        <v>41</v>
      </c>
      <c r="U80" s="56">
        <v>80</v>
      </c>
      <c r="V80" s="56">
        <v>25</v>
      </c>
      <c r="W80" s="56">
        <v>34</v>
      </c>
      <c r="X80" s="56">
        <v>23</v>
      </c>
      <c r="Y80" s="56">
        <v>16</v>
      </c>
      <c r="Z80" s="56">
        <v>33</v>
      </c>
      <c r="AA80" s="56">
        <v>37</v>
      </c>
      <c r="AB80" s="56">
        <v>61</v>
      </c>
      <c r="AC80" s="56">
        <v>40</v>
      </c>
      <c r="AD80" s="56">
        <v>28</v>
      </c>
      <c r="AE80" s="56">
        <v>36</v>
      </c>
      <c r="AF80" s="56"/>
      <c r="AG80" s="63">
        <f>SUM(B80:AF80)</f>
        <v>1042</v>
      </c>
      <c r="AH80" s="63"/>
      <c r="AI80" s="63">
        <f>AG80</f>
        <v>1042</v>
      </c>
    </row>
    <row r="81" spans="1:68" ht="21">
      <c r="A81" s="55" t="s">
        <v>21</v>
      </c>
      <c r="B81" s="56">
        <v>16</v>
      </c>
      <c r="C81" s="56">
        <v>15</v>
      </c>
      <c r="D81" s="56">
        <v>18</v>
      </c>
      <c r="E81" s="56">
        <v>17</v>
      </c>
      <c r="F81" s="56">
        <v>24</v>
      </c>
      <c r="G81" s="56">
        <v>45</v>
      </c>
      <c r="H81" s="56">
        <v>21</v>
      </c>
      <c r="I81" s="56">
        <v>20</v>
      </c>
      <c r="J81" s="56">
        <v>16</v>
      </c>
      <c r="K81" s="56">
        <v>18</v>
      </c>
      <c r="L81" s="56">
        <v>10</v>
      </c>
      <c r="M81" s="56">
        <v>16</v>
      </c>
      <c r="N81" s="56">
        <v>37</v>
      </c>
      <c r="O81" s="56">
        <v>21</v>
      </c>
      <c r="P81" s="56">
        <v>14</v>
      </c>
      <c r="Q81" s="56">
        <v>8</v>
      </c>
      <c r="R81" s="56">
        <v>14</v>
      </c>
      <c r="S81" s="56">
        <v>11</v>
      </c>
      <c r="T81" s="56">
        <v>26</v>
      </c>
      <c r="U81" s="56">
        <v>43</v>
      </c>
      <c r="V81" s="56">
        <v>11</v>
      </c>
      <c r="W81" s="56">
        <v>14</v>
      </c>
      <c r="X81" s="56">
        <v>11</v>
      </c>
      <c r="Y81" s="56">
        <v>10</v>
      </c>
      <c r="Z81" s="56">
        <v>14</v>
      </c>
      <c r="AA81" s="56">
        <v>19</v>
      </c>
      <c r="AB81" s="56">
        <v>38</v>
      </c>
      <c r="AC81" s="56">
        <v>20</v>
      </c>
      <c r="AD81" s="56">
        <v>10</v>
      </c>
      <c r="AE81" s="56">
        <v>20</v>
      </c>
      <c r="AF81" s="56"/>
      <c r="AG81" s="63">
        <f t="shared" ref="AG81:AG88" si="35">SUM(B81:AF81)</f>
        <v>577</v>
      </c>
      <c r="AH81" s="63"/>
      <c r="AI81" s="63">
        <f>AG81+AH83+AH84+AH85</f>
        <v>577</v>
      </c>
    </row>
    <row r="82" spans="1:68" ht="21">
      <c r="A82" s="55" t="s">
        <v>22</v>
      </c>
      <c r="B82" s="125">
        <v>16</v>
      </c>
      <c r="C82" s="125">
        <v>12</v>
      </c>
      <c r="D82" s="125">
        <v>14</v>
      </c>
      <c r="E82" s="125">
        <v>15</v>
      </c>
      <c r="F82" s="125">
        <v>22</v>
      </c>
      <c r="G82" s="125">
        <v>40</v>
      </c>
      <c r="H82" s="125">
        <v>17</v>
      </c>
      <c r="I82" s="125">
        <v>18</v>
      </c>
      <c r="J82" s="125">
        <v>13</v>
      </c>
      <c r="K82" s="125">
        <v>15</v>
      </c>
      <c r="L82" s="125">
        <v>7</v>
      </c>
      <c r="M82" s="125">
        <v>12</v>
      </c>
      <c r="N82" s="125">
        <v>28</v>
      </c>
      <c r="O82" s="125">
        <v>20</v>
      </c>
      <c r="P82" s="125">
        <v>13</v>
      </c>
      <c r="Q82" s="125">
        <v>7</v>
      </c>
      <c r="R82" s="125">
        <v>14</v>
      </c>
      <c r="S82" s="125">
        <v>11</v>
      </c>
      <c r="T82" s="125">
        <v>25</v>
      </c>
      <c r="U82" s="125">
        <v>35</v>
      </c>
      <c r="V82" s="125">
        <v>7</v>
      </c>
      <c r="W82" s="125">
        <v>12</v>
      </c>
      <c r="X82" s="125">
        <v>8</v>
      </c>
      <c r="Y82" s="125">
        <v>7</v>
      </c>
      <c r="Z82" s="125">
        <v>10</v>
      </c>
      <c r="AA82" s="125">
        <v>15</v>
      </c>
      <c r="AB82" s="125">
        <v>34</v>
      </c>
      <c r="AC82" s="125">
        <v>19</v>
      </c>
      <c r="AD82" s="125">
        <v>8</v>
      </c>
      <c r="AE82" s="125">
        <v>17</v>
      </c>
      <c r="AF82" s="56"/>
      <c r="AG82" s="63">
        <f t="shared" si="35"/>
        <v>491</v>
      </c>
      <c r="AH82" s="63"/>
      <c r="AI82" s="63">
        <f>AG82+AH83+AH84+AH85</f>
        <v>491</v>
      </c>
    </row>
    <row r="83" spans="1:68" ht="21">
      <c r="A83" s="55" t="s">
        <v>23</v>
      </c>
      <c r="B83" s="125">
        <v>0</v>
      </c>
      <c r="C83" s="125">
        <v>0</v>
      </c>
      <c r="D83" s="125">
        <v>2</v>
      </c>
      <c r="E83" s="125">
        <v>0</v>
      </c>
      <c r="F83" s="125">
        <v>0</v>
      </c>
      <c r="G83" s="125">
        <v>0</v>
      </c>
      <c r="H83" s="125">
        <v>0</v>
      </c>
      <c r="I83" s="125">
        <v>0</v>
      </c>
      <c r="J83" s="125">
        <v>1</v>
      </c>
      <c r="K83" s="125">
        <v>1</v>
      </c>
      <c r="L83" s="125">
        <v>0</v>
      </c>
      <c r="M83" s="125">
        <v>0</v>
      </c>
      <c r="N83" s="125">
        <v>2</v>
      </c>
      <c r="O83" s="125">
        <v>0</v>
      </c>
      <c r="P83" s="125">
        <v>0</v>
      </c>
      <c r="Q83" s="125">
        <v>0</v>
      </c>
      <c r="R83" s="125">
        <v>0</v>
      </c>
      <c r="S83" s="125">
        <v>0</v>
      </c>
      <c r="T83" s="125">
        <v>0</v>
      </c>
      <c r="U83" s="125">
        <v>1</v>
      </c>
      <c r="V83" s="125">
        <v>2</v>
      </c>
      <c r="W83" s="125">
        <v>0</v>
      </c>
      <c r="X83" s="125">
        <v>0</v>
      </c>
      <c r="Y83" s="125">
        <v>0</v>
      </c>
      <c r="Z83" s="125">
        <v>0</v>
      </c>
      <c r="AA83" s="125">
        <v>0</v>
      </c>
      <c r="AB83" s="125">
        <v>0</v>
      </c>
      <c r="AC83" s="125">
        <v>0</v>
      </c>
      <c r="AD83" s="125">
        <v>0</v>
      </c>
      <c r="AE83" s="125">
        <v>0</v>
      </c>
      <c r="AF83" s="56"/>
      <c r="AG83" s="63">
        <f t="shared" si="35"/>
        <v>9</v>
      </c>
      <c r="AH83" s="63"/>
      <c r="AI83" s="63">
        <f t="shared" ref="AI83:AI88" si="36">AG83-AH83</f>
        <v>9</v>
      </c>
    </row>
    <row r="84" spans="1:68" ht="21">
      <c r="A84" s="55" t="s">
        <v>24</v>
      </c>
      <c r="B84" s="125">
        <v>0</v>
      </c>
      <c r="C84" s="125">
        <v>0</v>
      </c>
      <c r="D84" s="125">
        <v>0</v>
      </c>
      <c r="E84" s="125">
        <v>0</v>
      </c>
      <c r="F84" s="125">
        <v>0</v>
      </c>
      <c r="G84" s="125">
        <v>0</v>
      </c>
      <c r="H84" s="125">
        <v>1</v>
      </c>
      <c r="I84" s="125">
        <v>0</v>
      </c>
      <c r="J84" s="125">
        <v>0</v>
      </c>
      <c r="K84" s="125">
        <v>0</v>
      </c>
      <c r="L84" s="125">
        <v>0</v>
      </c>
      <c r="M84" s="125">
        <v>0</v>
      </c>
      <c r="N84" s="125">
        <v>0</v>
      </c>
      <c r="O84" s="125">
        <v>0</v>
      </c>
      <c r="P84" s="125">
        <v>0</v>
      </c>
      <c r="Q84" s="125">
        <v>0</v>
      </c>
      <c r="R84" s="125">
        <v>0</v>
      </c>
      <c r="S84" s="125">
        <v>0</v>
      </c>
      <c r="T84" s="125">
        <v>0</v>
      </c>
      <c r="U84" s="125">
        <v>0</v>
      </c>
      <c r="V84" s="125">
        <v>0</v>
      </c>
      <c r="W84" s="125">
        <v>0</v>
      </c>
      <c r="X84" s="125">
        <v>0</v>
      </c>
      <c r="Y84" s="125">
        <v>0</v>
      </c>
      <c r="Z84" s="125">
        <v>0</v>
      </c>
      <c r="AA84" s="125">
        <v>0</v>
      </c>
      <c r="AB84" s="125">
        <v>0</v>
      </c>
      <c r="AC84" s="125">
        <v>0</v>
      </c>
      <c r="AD84" s="125">
        <v>0</v>
      </c>
      <c r="AE84" s="125">
        <v>0</v>
      </c>
      <c r="AF84" s="56"/>
      <c r="AG84" s="63">
        <f t="shared" si="35"/>
        <v>1</v>
      </c>
      <c r="AH84" s="63"/>
      <c r="AI84" s="63">
        <f t="shared" si="36"/>
        <v>1</v>
      </c>
    </row>
    <row r="85" spans="1:68" ht="21">
      <c r="A85" s="55" t="s">
        <v>26</v>
      </c>
      <c r="B85" s="125">
        <v>0</v>
      </c>
      <c r="C85" s="125">
        <v>3</v>
      </c>
      <c r="D85" s="125">
        <v>2</v>
      </c>
      <c r="E85" s="125">
        <v>2</v>
      </c>
      <c r="F85" s="125">
        <v>2</v>
      </c>
      <c r="G85" s="125">
        <v>5</v>
      </c>
      <c r="H85" s="125">
        <v>3</v>
      </c>
      <c r="I85" s="125">
        <v>2</v>
      </c>
      <c r="J85" s="125">
        <v>2</v>
      </c>
      <c r="K85" s="125">
        <v>2</v>
      </c>
      <c r="L85" s="125">
        <v>3</v>
      </c>
      <c r="M85" s="125">
        <v>4</v>
      </c>
      <c r="N85" s="125">
        <v>7</v>
      </c>
      <c r="O85" s="125">
        <v>1</v>
      </c>
      <c r="P85" s="125">
        <v>1</v>
      </c>
      <c r="Q85" s="125">
        <v>1</v>
      </c>
      <c r="R85" s="125">
        <v>0</v>
      </c>
      <c r="S85" s="125">
        <v>0</v>
      </c>
      <c r="T85" s="125">
        <v>1</v>
      </c>
      <c r="U85" s="125">
        <v>7</v>
      </c>
      <c r="V85" s="125">
        <v>2</v>
      </c>
      <c r="W85" s="125">
        <v>2</v>
      </c>
      <c r="X85" s="125">
        <v>3</v>
      </c>
      <c r="Y85" s="125">
        <v>3</v>
      </c>
      <c r="Z85" s="125">
        <v>4</v>
      </c>
      <c r="AA85" s="125">
        <v>4</v>
      </c>
      <c r="AB85" s="125">
        <v>4</v>
      </c>
      <c r="AC85" s="125">
        <v>1</v>
      </c>
      <c r="AD85" s="125">
        <v>2</v>
      </c>
      <c r="AE85" s="125">
        <v>3</v>
      </c>
      <c r="AF85" s="56"/>
      <c r="AG85" s="63">
        <f t="shared" si="35"/>
        <v>76</v>
      </c>
      <c r="AH85" s="63"/>
      <c r="AI85" s="63">
        <f t="shared" si="36"/>
        <v>76</v>
      </c>
    </row>
    <row r="86" spans="1:68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5"/>
        <v>0</v>
      </c>
      <c r="AH86" s="70"/>
      <c r="AI86" s="63">
        <f t="shared" si="36"/>
        <v>0</v>
      </c>
    </row>
    <row r="87" spans="1:68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5"/>
        <v>0</v>
      </c>
      <c r="AH87" s="71"/>
      <c r="AI87" s="63">
        <f t="shared" si="36"/>
        <v>0</v>
      </c>
    </row>
    <row r="88" spans="1:68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5"/>
        <v>0</v>
      </c>
      <c r="AH88" s="63"/>
      <c r="AI88" s="63">
        <f t="shared" si="36"/>
        <v>0</v>
      </c>
    </row>
    <row r="89" spans="1:68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AW89"/>
      <c r="BE89" s="3"/>
      <c r="BF89" s="41"/>
      <c r="BG89" s="41"/>
      <c r="BJ89" s="3"/>
      <c r="BK89" s="3"/>
      <c r="BL89" s="3"/>
      <c r="BM89" s="3"/>
      <c r="BN89" s="3"/>
      <c r="BO89" s="3"/>
      <c r="BP89" s="3"/>
    </row>
    <row r="90" spans="1:68" ht="21">
      <c r="A90" s="53"/>
      <c r="B90" s="54">
        <v>46174</v>
      </c>
      <c r="C90" s="54">
        <v>46175</v>
      </c>
      <c r="D90" s="54">
        <v>46176</v>
      </c>
      <c r="E90" s="54">
        <v>46177</v>
      </c>
      <c r="F90" s="54">
        <v>46178</v>
      </c>
      <c r="G90" s="54">
        <v>46179</v>
      </c>
      <c r="H90" s="54">
        <v>46180</v>
      </c>
      <c r="I90" s="54">
        <v>46181</v>
      </c>
      <c r="J90" s="54">
        <v>46182</v>
      </c>
      <c r="K90" s="54">
        <v>46183</v>
      </c>
      <c r="L90" s="54">
        <v>46184</v>
      </c>
      <c r="M90" s="54">
        <v>46185</v>
      </c>
      <c r="N90" s="54">
        <v>46186</v>
      </c>
      <c r="O90" s="54">
        <v>46187</v>
      </c>
      <c r="P90" s="54">
        <v>46188</v>
      </c>
      <c r="Q90" s="54">
        <v>46189</v>
      </c>
      <c r="R90" s="54">
        <v>46190</v>
      </c>
      <c r="S90" s="54">
        <v>46191</v>
      </c>
      <c r="T90" s="54">
        <v>46192</v>
      </c>
      <c r="U90" s="54">
        <v>46193</v>
      </c>
      <c r="V90" s="54">
        <v>46194</v>
      </c>
      <c r="W90" s="54">
        <v>46195</v>
      </c>
      <c r="X90" s="54">
        <v>46196</v>
      </c>
      <c r="Y90" s="54">
        <v>46197</v>
      </c>
      <c r="Z90" s="54">
        <v>46198</v>
      </c>
      <c r="AA90" s="54">
        <v>46199</v>
      </c>
      <c r="AB90" s="54">
        <v>46200</v>
      </c>
      <c r="AC90" s="54">
        <v>46201</v>
      </c>
      <c r="AD90" s="54">
        <v>46202</v>
      </c>
      <c r="AE90" s="54">
        <v>46203</v>
      </c>
      <c r="AF90" s="54"/>
      <c r="AG90" s="61" t="s">
        <v>2</v>
      </c>
      <c r="AH90" s="61" t="s">
        <v>3</v>
      </c>
      <c r="AI90" s="62" t="s">
        <v>59</v>
      </c>
    </row>
    <row r="91" spans="1:68" ht="21">
      <c r="A91" s="55" t="s">
        <v>56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63">
        <f>SUM(B91:AF91)</f>
        <v>0</v>
      </c>
      <c r="AH91" s="63"/>
      <c r="AI91" s="63">
        <f>AG91</f>
        <v>0</v>
      </c>
    </row>
    <row r="92" spans="1:68" ht="21">
      <c r="A92" s="55" t="s">
        <v>21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63">
        <f t="shared" ref="AG92:AG99" si="37">SUM(B92:AF92)</f>
        <v>0</v>
      </c>
      <c r="AH92" s="63"/>
      <c r="AI92" s="63">
        <f>AG92+AH94+AH95+AH96</f>
        <v>0</v>
      </c>
    </row>
    <row r="93" spans="1:68" ht="21">
      <c r="A93" s="55" t="s">
        <v>22</v>
      </c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56"/>
      <c r="AG93" s="63">
        <f t="shared" si="37"/>
        <v>0</v>
      </c>
      <c r="AH93" s="63"/>
      <c r="AI93" s="63">
        <f>AG93+AH94+AH95+AH96</f>
        <v>0</v>
      </c>
    </row>
    <row r="94" spans="1:68" ht="21">
      <c r="A94" s="55" t="s">
        <v>23</v>
      </c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56"/>
      <c r="AG94" s="63">
        <f t="shared" si="37"/>
        <v>0</v>
      </c>
      <c r="AH94" s="63"/>
      <c r="AI94" s="63">
        <f t="shared" ref="AI94:AI99" si="38">AG94-AH94</f>
        <v>0</v>
      </c>
    </row>
    <row r="95" spans="1:68" ht="21">
      <c r="A95" s="55" t="s">
        <v>24</v>
      </c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56"/>
      <c r="AG95" s="63">
        <f t="shared" si="37"/>
        <v>0</v>
      </c>
      <c r="AH95" s="63"/>
      <c r="AI95" s="63">
        <f t="shared" si="38"/>
        <v>0</v>
      </c>
    </row>
    <row r="96" spans="1:68" ht="21">
      <c r="A96" s="55" t="s">
        <v>26</v>
      </c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56"/>
      <c r="AG96" s="63">
        <f t="shared" si="37"/>
        <v>0</v>
      </c>
      <c r="AH96" s="63"/>
      <c r="AI96" s="63">
        <f t="shared" si="38"/>
        <v>0</v>
      </c>
    </row>
    <row r="97" spans="1:76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7"/>
        <v>0</v>
      </c>
      <c r="AH97" s="70"/>
      <c r="AI97" s="63">
        <f t="shared" si="38"/>
        <v>0</v>
      </c>
    </row>
    <row r="98" spans="1:76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7"/>
        <v>0</v>
      </c>
      <c r="AH98" s="71"/>
      <c r="AI98" s="63">
        <f t="shared" si="38"/>
        <v>0</v>
      </c>
    </row>
    <row r="99" spans="1:76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7"/>
        <v>0</v>
      </c>
      <c r="AH99" s="63"/>
      <c r="AI99" s="63">
        <f t="shared" si="38"/>
        <v>0</v>
      </c>
    </row>
    <row r="100" spans="1:76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AW100"/>
      <c r="BE100" s="3"/>
      <c r="BF100" s="41"/>
      <c r="BG100" s="41"/>
      <c r="BJ100" s="3"/>
      <c r="BK100" s="3"/>
      <c r="BL100" s="3"/>
      <c r="BM100" s="3"/>
      <c r="BN100" s="3"/>
      <c r="BO100" s="3"/>
      <c r="BP100" s="3"/>
    </row>
    <row r="101" spans="1:76" ht="21">
      <c r="A101" s="53"/>
      <c r="B101" s="54">
        <v>46174</v>
      </c>
      <c r="C101" s="54">
        <v>46175</v>
      </c>
      <c r="D101" s="54">
        <v>46176</v>
      </c>
      <c r="E101" s="54">
        <v>46177</v>
      </c>
      <c r="F101" s="54">
        <v>46178</v>
      </c>
      <c r="G101" s="54">
        <v>46179</v>
      </c>
      <c r="H101" s="54">
        <v>46180</v>
      </c>
      <c r="I101" s="54">
        <v>46181</v>
      </c>
      <c r="J101" s="54">
        <v>46182</v>
      </c>
      <c r="K101" s="54">
        <v>46183</v>
      </c>
      <c r="L101" s="54">
        <v>46184</v>
      </c>
      <c r="M101" s="54">
        <v>46185</v>
      </c>
      <c r="N101" s="54">
        <v>46186</v>
      </c>
      <c r="O101" s="54">
        <v>46187</v>
      </c>
      <c r="P101" s="54">
        <v>46188</v>
      </c>
      <c r="Q101" s="54">
        <v>46189</v>
      </c>
      <c r="R101" s="54">
        <v>46190</v>
      </c>
      <c r="S101" s="54">
        <v>46191</v>
      </c>
      <c r="T101" s="54">
        <v>46192</v>
      </c>
      <c r="U101" s="54">
        <v>46193</v>
      </c>
      <c r="V101" s="54">
        <v>46194</v>
      </c>
      <c r="W101" s="54">
        <v>46195</v>
      </c>
      <c r="X101" s="54">
        <v>46196</v>
      </c>
      <c r="Y101" s="54">
        <v>46197</v>
      </c>
      <c r="Z101" s="54">
        <v>46198</v>
      </c>
      <c r="AA101" s="54">
        <v>46199</v>
      </c>
      <c r="AB101" s="54">
        <v>46200</v>
      </c>
      <c r="AC101" s="54">
        <v>46201</v>
      </c>
      <c r="AD101" s="54">
        <v>46202</v>
      </c>
      <c r="AE101" s="54">
        <v>46203</v>
      </c>
      <c r="AF101" s="54"/>
      <c r="AG101" s="61" t="s">
        <v>2</v>
      </c>
      <c r="AH101" s="61" t="s">
        <v>3</v>
      </c>
      <c r="AI101" s="62" t="s">
        <v>61</v>
      </c>
    </row>
    <row r="102" spans="1:76" ht="21">
      <c r="A102" s="55" t="s">
        <v>56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63">
        <f>SUM(B102:AF102)</f>
        <v>0</v>
      </c>
      <c r="AH102" s="63"/>
      <c r="AI102" s="63">
        <f>AG102</f>
        <v>0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2"/>
      <c r="BW102" s="122"/>
      <c r="BX102" s="123"/>
    </row>
    <row r="103" spans="1:76" ht="21">
      <c r="A103" s="55" t="s">
        <v>21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63">
        <f t="shared" ref="AG103:AG110" si="39">SUM(B103:AF103)</f>
        <v>0</v>
      </c>
      <c r="AH103" s="63"/>
      <c r="AI103" s="63">
        <f>AG103+AH105+AH106+AH107</f>
        <v>0</v>
      </c>
      <c r="BF103"/>
      <c r="BG103"/>
      <c r="BH103"/>
      <c r="BI103"/>
    </row>
    <row r="104" spans="1:76" ht="21">
      <c r="A104" s="55" t="s">
        <v>22</v>
      </c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56"/>
      <c r="AG104" s="63">
        <f t="shared" si="39"/>
        <v>0</v>
      </c>
      <c r="AH104" s="63"/>
      <c r="AI104" s="63">
        <f>AG104+AH105+AH106+AH107</f>
        <v>0</v>
      </c>
    </row>
    <row r="105" spans="1:76" ht="21">
      <c r="A105" s="55" t="s">
        <v>23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56"/>
      <c r="AG105" s="63">
        <f t="shared" si="39"/>
        <v>0</v>
      </c>
      <c r="AH105" s="63"/>
      <c r="AI105" s="63">
        <f t="shared" ref="AI105:AI110" si="40">AG105-AH105</f>
        <v>0</v>
      </c>
    </row>
    <row r="106" spans="1:76" ht="21">
      <c r="A106" s="55" t="s">
        <v>24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56"/>
      <c r="AG106" s="63">
        <f t="shared" si="39"/>
        <v>0</v>
      </c>
      <c r="AH106" s="63"/>
      <c r="AI106" s="63">
        <f t="shared" si="40"/>
        <v>0</v>
      </c>
    </row>
    <row r="107" spans="1:76" ht="21">
      <c r="A107" s="55" t="s">
        <v>26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56"/>
      <c r="AG107" s="63">
        <f t="shared" si="39"/>
        <v>0</v>
      </c>
      <c r="AH107" s="63"/>
      <c r="AI107" s="63">
        <f t="shared" si="40"/>
        <v>0</v>
      </c>
    </row>
    <row r="108" spans="1:76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9"/>
        <v>0</v>
      </c>
      <c r="AH108" s="70"/>
      <c r="AI108" s="63">
        <f t="shared" si="40"/>
        <v>0</v>
      </c>
    </row>
    <row r="109" spans="1:76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9"/>
        <v>0</v>
      </c>
      <c r="AH109" s="71"/>
      <c r="AI109" s="63">
        <f t="shared" si="40"/>
        <v>0</v>
      </c>
    </row>
    <row r="110" spans="1:76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9"/>
        <v>0</v>
      </c>
      <c r="AH110" s="63"/>
      <c r="AI110" s="63">
        <f t="shared" si="40"/>
        <v>0</v>
      </c>
    </row>
    <row r="113" spans="1:76" ht="23.25">
      <c r="A113" s="250" t="s">
        <v>303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59"/>
      <c r="AI113" s="60"/>
      <c r="AL113"/>
      <c r="AM113"/>
      <c r="AN113"/>
      <c r="AO113"/>
      <c r="AP113"/>
      <c r="AQ113"/>
      <c r="AR113"/>
      <c r="AS113"/>
      <c r="AT113"/>
      <c r="AU113"/>
      <c r="AV113"/>
      <c r="AW113"/>
      <c r="BE113" s="3"/>
      <c r="BF113" s="41"/>
      <c r="BG113" s="41"/>
      <c r="BJ113" s="3"/>
      <c r="BK113" s="3"/>
      <c r="BL113" s="3"/>
      <c r="BM113" s="3"/>
      <c r="BN113" s="3"/>
      <c r="BO113" s="3"/>
      <c r="BP113" s="3"/>
    </row>
    <row r="114" spans="1:76" ht="21">
      <c r="A114" s="53"/>
      <c r="B114" s="54">
        <v>46174</v>
      </c>
      <c r="C114" s="54">
        <v>46175</v>
      </c>
      <c r="D114" s="54">
        <v>46176</v>
      </c>
      <c r="E114" s="54">
        <v>46177</v>
      </c>
      <c r="F114" s="54">
        <v>46178</v>
      </c>
      <c r="G114" s="54">
        <v>46179</v>
      </c>
      <c r="H114" s="54">
        <v>46180</v>
      </c>
      <c r="I114" s="54">
        <v>46181</v>
      </c>
      <c r="J114" s="54">
        <v>46182</v>
      </c>
      <c r="K114" s="54">
        <v>46183</v>
      </c>
      <c r="L114" s="54">
        <v>46184</v>
      </c>
      <c r="M114" s="54">
        <v>46185</v>
      </c>
      <c r="N114" s="54">
        <v>46186</v>
      </c>
      <c r="O114" s="54">
        <v>46187</v>
      </c>
      <c r="P114" s="54">
        <v>46188</v>
      </c>
      <c r="Q114" s="54">
        <v>46189</v>
      </c>
      <c r="R114" s="54">
        <v>46190</v>
      </c>
      <c r="S114" s="54">
        <v>46191</v>
      </c>
      <c r="T114" s="54">
        <v>46192</v>
      </c>
      <c r="U114" s="54">
        <v>46193</v>
      </c>
      <c r="V114" s="54">
        <v>46194</v>
      </c>
      <c r="W114" s="54">
        <v>46195</v>
      </c>
      <c r="X114" s="54">
        <v>46196</v>
      </c>
      <c r="Y114" s="54">
        <v>46197</v>
      </c>
      <c r="Z114" s="54">
        <v>46198</v>
      </c>
      <c r="AA114" s="54">
        <v>46199</v>
      </c>
      <c r="AB114" s="54">
        <v>46200</v>
      </c>
      <c r="AC114" s="54">
        <v>46201</v>
      </c>
      <c r="AD114" s="54">
        <v>46202</v>
      </c>
      <c r="AE114" s="54">
        <v>46203</v>
      </c>
      <c r="AF114" s="54"/>
      <c r="AG114" s="61" t="s">
        <v>2</v>
      </c>
      <c r="AH114" s="61" t="s">
        <v>3</v>
      </c>
      <c r="AI114" s="62" t="s">
        <v>304</v>
      </c>
    </row>
    <row r="115" spans="1:76" ht="21">
      <c r="A115" s="55" t="s">
        <v>56</v>
      </c>
      <c r="B115" s="56">
        <v>9</v>
      </c>
      <c r="C115" s="56">
        <v>16</v>
      </c>
      <c r="D115" s="56">
        <v>20</v>
      </c>
      <c r="E115" s="56">
        <v>24</v>
      </c>
      <c r="F115" s="56">
        <v>28</v>
      </c>
      <c r="G115" s="56">
        <v>85</v>
      </c>
      <c r="H115" s="56">
        <v>38</v>
      </c>
      <c r="I115" s="56">
        <v>25</v>
      </c>
      <c r="J115" s="56">
        <v>27</v>
      </c>
      <c r="K115" s="56">
        <v>17</v>
      </c>
      <c r="L115" s="56">
        <v>20</v>
      </c>
      <c r="M115" s="56">
        <v>19</v>
      </c>
      <c r="N115" s="56">
        <v>40</v>
      </c>
      <c r="O115" s="56">
        <v>24</v>
      </c>
      <c r="P115" s="56">
        <v>19</v>
      </c>
      <c r="Q115" s="56">
        <v>29</v>
      </c>
      <c r="R115" s="56">
        <v>9</v>
      </c>
      <c r="S115" s="56">
        <v>18</v>
      </c>
      <c r="T115" s="56">
        <v>18</v>
      </c>
      <c r="U115" s="56">
        <v>54</v>
      </c>
      <c r="V115" s="56">
        <v>12</v>
      </c>
      <c r="W115" s="56">
        <v>15</v>
      </c>
      <c r="X115" s="56">
        <v>16</v>
      </c>
      <c r="Y115" s="56">
        <v>13</v>
      </c>
      <c r="Z115" s="56">
        <v>24</v>
      </c>
      <c r="AA115" s="56">
        <v>26</v>
      </c>
      <c r="AB115" s="56">
        <v>40</v>
      </c>
      <c r="AC115" s="56">
        <v>14</v>
      </c>
      <c r="AD115" s="56">
        <v>11</v>
      </c>
      <c r="AE115" s="56">
        <v>39</v>
      </c>
      <c r="AF115" s="56"/>
      <c r="AG115" s="63">
        <f>SUM(B115:AF115)</f>
        <v>749</v>
      </c>
      <c r="AH115" s="63"/>
      <c r="AI115" s="63">
        <f>AG115</f>
        <v>749</v>
      </c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2"/>
      <c r="BW115" s="122"/>
      <c r="BX115" s="123"/>
    </row>
    <row r="116" spans="1:76" ht="21">
      <c r="A116" s="55" t="s">
        <v>21</v>
      </c>
      <c r="B116" s="56">
        <v>5</v>
      </c>
      <c r="C116" s="56">
        <v>8</v>
      </c>
      <c r="D116" s="56">
        <v>7</v>
      </c>
      <c r="E116" s="56">
        <v>14</v>
      </c>
      <c r="F116" s="56">
        <v>12</v>
      </c>
      <c r="G116" s="56">
        <v>48</v>
      </c>
      <c r="H116" s="56">
        <v>22</v>
      </c>
      <c r="I116" s="56">
        <v>16</v>
      </c>
      <c r="J116" s="56">
        <v>13</v>
      </c>
      <c r="K116" s="56">
        <v>7</v>
      </c>
      <c r="L116" s="56">
        <v>14</v>
      </c>
      <c r="M116" s="56">
        <v>9</v>
      </c>
      <c r="N116" s="56">
        <v>23</v>
      </c>
      <c r="O116" s="56">
        <v>15</v>
      </c>
      <c r="P116" s="56">
        <v>10</v>
      </c>
      <c r="Q116" s="56">
        <v>15</v>
      </c>
      <c r="R116" s="56">
        <v>4</v>
      </c>
      <c r="S116" s="56">
        <v>7</v>
      </c>
      <c r="T116" s="56">
        <v>9</v>
      </c>
      <c r="U116" s="56">
        <v>28</v>
      </c>
      <c r="V116" s="56">
        <v>3</v>
      </c>
      <c r="W116" s="56">
        <v>4</v>
      </c>
      <c r="X116" s="56">
        <v>5</v>
      </c>
      <c r="Y116" s="56">
        <v>7</v>
      </c>
      <c r="Z116" s="56">
        <v>9</v>
      </c>
      <c r="AA116" s="56">
        <v>18</v>
      </c>
      <c r="AB116" s="56">
        <v>14</v>
      </c>
      <c r="AC116" s="56">
        <v>7</v>
      </c>
      <c r="AD116" s="56">
        <v>5</v>
      </c>
      <c r="AE116" s="56">
        <v>8</v>
      </c>
      <c r="AF116" s="56"/>
      <c r="AG116" s="63">
        <f t="shared" ref="AG116:AG123" si="41">SUM(B116:AF116)</f>
        <v>366</v>
      </c>
      <c r="AH116" s="63"/>
      <c r="AI116" s="63">
        <f>AG116+AH118+AH119+AH120</f>
        <v>366</v>
      </c>
      <c r="BF116"/>
      <c r="BG116"/>
      <c r="BH116"/>
      <c r="BI116"/>
    </row>
    <row r="117" spans="1:76" ht="21">
      <c r="A117" s="55" t="s">
        <v>22</v>
      </c>
      <c r="B117" s="125">
        <v>5</v>
      </c>
      <c r="C117" s="125">
        <v>6</v>
      </c>
      <c r="D117" s="125">
        <v>6</v>
      </c>
      <c r="E117" s="125">
        <v>12</v>
      </c>
      <c r="F117" s="125">
        <v>12</v>
      </c>
      <c r="G117" s="125">
        <v>45</v>
      </c>
      <c r="H117" s="125">
        <v>19</v>
      </c>
      <c r="I117" s="125">
        <v>13</v>
      </c>
      <c r="J117" s="125">
        <v>12</v>
      </c>
      <c r="K117" s="125">
        <v>7</v>
      </c>
      <c r="L117" s="125">
        <v>12</v>
      </c>
      <c r="M117" s="125">
        <v>6</v>
      </c>
      <c r="N117" s="125">
        <v>19</v>
      </c>
      <c r="O117" s="125">
        <v>14</v>
      </c>
      <c r="P117" s="125">
        <v>8</v>
      </c>
      <c r="Q117" s="125">
        <v>14</v>
      </c>
      <c r="R117" s="125">
        <v>2</v>
      </c>
      <c r="S117" s="125">
        <v>6</v>
      </c>
      <c r="T117" s="125">
        <v>7</v>
      </c>
      <c r="U117" s="125">
        <v>23</v>
      </c>
      <c r="V117" s="125">
        <v>2</v>
      </c>
      <c r="W117" s="125">
        <v>4</v>
      </c>
      <c r="X117" s="125">
        <v>5</v>
      </c>
      <c r="Y117" s="125">
        <v>7</v>
      </c>
      <c r="Z117" s="125">
        <v>8</v>
      </c>
      <c r="AA117" s="125">
        <v>16</v>
      </c>
      <c r="AB117" s="125">
        <v>12</v>
      </c>
      <c r="AC117" s="125">
        <v>7</v>
      </c>
      <c r="AD117" s="125">
        <v>4</v>
      </c>
      <c r="AE117" s="125">
        <v>8</v>
      </c>
      <c r="AF117" s="56"/>
      <c r="AG117" s="63">
        <f t="shared" si="41"/>
        <v>321</v>
      </c>
      <c r="AH117" s="63"/>
      <c r="AI117" s="63">
        <f>AG117+AH118+AH119+AH120</f>
        <v>321</v>
      </c>
    </row>
    <row r="118" spans="1:76" ht="21">
      <c r="A118" s="55" t="s">
        <v>23</v>
      </c>
      <c r="B118" s="125">
        <v>0</v>
      </c>
      <c r="C118" s="125">
        <v>0</v>
      </c>
      <c r="D118" s="125">
        <v>0</v>
      </c>
      <c r="E118" s="125">
        <v>0</v>
      </c>
      <c r="F118" s="125">
        <v>0</v>
      </c>
      <c r="G118" s="125">
        <v>1</v>
      </c>
      <c r="H118" s="125">
        <v>0</v>
      </c>
      <c r="I118" s="125">
        <v>1</v>
      </c>
      <c r="J118" s="125">
        <v>1</v>
      </c>
      <c r="K118" s="125">
        <v>0</v>
      </c>
      <c r="L118" s="125">
        <v>1</v>
      </c>
      <c r="M118" s="125">
        <v>0</v>
      </c>
      <c r="N118" s="125">
        <v>0</v>
      </c>
      <c r="O118" s="125">
        <v>0</v>
      </c>
      <c r="P118" s="125">
        <v>0</v>
      </c>
      <c r="Q118" s="125">
        <v>1</v>
      </c>
      <c r="R118" s="125">
        <v>0</v>
      </c>
      <c r="S118" s="125">
        <v>0</v>
      </c>
      <c r="T118" s="125">
        <v>1</v>
      </c>
      <c r="U118" s="125">
        <v>3</v>
      </c>
      <c r="V118" s="125">
        <v>0</v>
      </c>
      <c r="W118" s="125">
        <v>0</v>
      </c>
      <c r="X118" s="125">
        <v>0</v>
      </c>
      <c r="Y118" s="125">
        <v>0</v>
      </c>
      <c r="Z118" s="125">
        <v>1</v>
      </c>
      <c r="AA118" s="125">
        <v>0</v>
      </c>
      <c r="AB118" s="125">
        <v>0</v>
      </c>
      <c r="AC118" s="125">
        <v>0</v>
      </c>
      <c r="AD118" s="125">
        <v>0</v>
      </c>
      <c r="AE118" s="125">
        <v>0</v>
      </c>
      <c r="AF118" s="56"/>
      <c r="AG118" s="63">
        <f t="shared" si="41"/>
        <v>10</v>
      </c>
      <c r="AH118" s="63"/>
      <c r="AI118" s="63">
        <f t="shared" ref="AI118:AI123" si="42">AG118-AH118</f>
        <v>10</v>
      </c>
    </row>
    <row r="119" spans="1:76" ht="21">
      <c r="A119" s="55" t="s">
        <v>24</v>
      </c>
      <c r="B119" s="125">
        <v>0</v>
      </c>
      <c r="C119" s="125">
        <v>0</v>
      </c>
      <c r="D119" s="125">
        <v>1</v>
      </c>
      <c r="E119" s="125">
        <v>0</v>
      </c>
      <c r="F119" s="125">
        <v>0</v>
      </c>
      <c r="G119" s="125">
        <v>0</v>
      </c>
      <c r="H119" s="125">
        <v>0</v>
      </c>
      <c r="I119" s="125">
        <v>0</v>
      </c>
      <c r="J119" s="125">
        <v>0</v>
      </c>
      <c r="K119" s="125">
        <v>0</v>
      </c>
      <c r="L119" s="125">
        <v>1</v>
      </c>
      <c r="M119" s="125">
        <v>0</v>
      </c>
      <c r="N119" s="125">
        <v>0</v>
      </c>
      <c r="O119" s="125">
        <v>0</v>
      </c>
      <c r="P119" s="125">
        <v>0</v>
      </c>
      <c r="Q119" s="125">
        <v>0</v>
      </c>
      <c r="R119" s="125">
        <v>0</v>
      </c>
      <c r="S119" s="125">
        <v>0</v>
      </c>
      <c r="T119" s="125">
        <v>0</v>
      </c>
      <c r="U119" s="125">
        <v>0</v>
      </c>
      <c r="V119" s="125">
        <v>0</v>
      </c>
      <c r="W119" s="125">
        <v>0</v>
      </c>
      <c r="X119" s="125">
        <v>0</v>
      </c>
      <c r="Y119" s="125">
        <v>0</v>
      </c>
      <c r="Z119" s="125">
        <v>0</v>
      </c>
      <c r="AA119" s="125">
        <v>0</v>
      </c>
      <c r="AB119" s="125">
        <v>0</v>
      </c>
      <c r="AC119" s="125">
        <v>0</v>
      </c>
      <c r="AD119" s="125">
        <v>0</v>
      </c>
      <c r="AE119" s="125">
        <v>0</v>
      </c>
      <c r="AF119" s="56"/>
      <c r="AG119" s="63">
        <f t="shared" si="41"/>
        <v>2</v>
      </c>
      <c r="AH119" s="63"/>
      <c r="AI119" s="63">
        <f t="shared" si="42"/>
        <v>2</v>
      </c>
    </row>
    <row r="120" spans="1:76" ht="21">
      <c r="A120" s="55" t="s">
        <v>26</v>
      </c>
      <c r="B120" s="125">
        <v>0</v>
      </c>
      <c r="C120" s="125">
        <v>2</v>
      </c>
      <c r="D120" s="125">
        <v>0</v>
      </c>
      <c r="E120" s="125">
        <v>2</v>
      </c>
      <c r="F120" s="125">
        <v>0</v>
      </c>
      <c r="G120" s="125">
        <v>2</v>
      </c>
      <c r="H120" s="125">
        <v>3</v>
      </c>
      <c r="I120" s="125">
        <v>2</v>
      </c>
      <c r="J120" s="125">
        <v>0</v>
      </c>
      <c r="K120" s="125">
        <v>0</v>
      </c>
      <c r="L120" s="125">
        <v>0</v>
      </c>
      <c r="M120" s="125">
        <v>3</v>
      </c>
      <c r="N120" s="125">
        <v>4</v>
      </c>
      <c r="O120" s="125">
        <v>1</v>
      </c>
      <c r="P120" s="125">
        <v>2</v>
      </c>
      <c r="Q120" s="125">
        <v>0</v>
      </c>
      <c r="R120" s="125">
        <v>2</v>
      </c>
      <c r="S120" s="125">
        <v>1</v>
      </c>
      <c r="T120" s="125">
        <v>1</v>
      </c>
      <c r="U120" s="125">
        <v>2</v>
      </c>
      <c r="V120" s="125">
        <v>1</v>
      </c>
      <c r="W120" s="125">
        <v>0</v>
      </c>
      <c r="X120" s="125">
        <v>0</v>
      </c>
      <c r="Y120" s="125">
        <v>0</v>
      </c>
      <c r="Z120" s="125">
        <v>0</v>
      </c>
      <c r="AA120" s="125">
        <v>2</v>
      </c>
      <c r="AB120" s="125">
        <v>2</v>
      </c>
      <c r="AC120" s="125">
        <v>0</v>
      </c>
      <c r="AD120" s="125">
        <v>1</v>
      </c>
      <c r="AE120" s="125">
        <v>0</v>
      </c>
      <c r="AF120" s="56"/>
      <c r="AG120" s="63">
        <f t="shared" si="41"/>
        <v>33</v>
      </c>
      <c r="AH120" s="63"/>
      <c r="AI120" s="63">
        <f t="shared" si="42"/>
        <v>33</v>
      </c>
    </row>
    <row r="121" spans="1:76" ht="21">
      <c r="A121" s="55" t="s">
        <v>28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63">
        <f t="shared" si="41"/>
        <v>0</v>
      </c>
      <c r="AH121" s="70"/>
      <c r="AI121" s="63">
        <f t="shared" si="42"/>
        <v>0</v>
      </c>
    </row>
    <row r="122" spans="1:76" ht="21">
      <c r="A122" s="55" t="s">
        <v>29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63">
        <f t="shared" si="41"/>
        <v>0</v>
      </c>
      <c r="AH122" s="71"/>
      <c r="AI122" s="63">
        <f t="shared" si="42"/>
        <v>0</v>
      </c>
    </row>
    <row r="123" spans="1:76" ht="21">
      <c r="A123" s="56" t="s">
        <v>31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63">
        <f t="shared" si="41"/>
        <v>0</v>
      </c>
      <c r="AH123" s="63"/>
      <c r="AI123" s="63">
        <f t="shared" si="42"/>
        <v>0</v>
      </c>
      <c r="AK123">
        <v>16</v>
      </c>
    </row>
  </sheetData>
  <mergeCells count="19">
    <mergeCell ref="A34:AG34"/>
    <mergeCell ref="A1:AG1"/>
    <mergeCell ref="AK1:AW2"/>
    <mergeCell ref="AY1:BC2"/>
    <mergeCell ref="BF1:BI2"/>
    <mergeCell ref="A12:AG12"/>
    <mergeCell ref="AK14:AW15"/>
    <mergeCell ref="AK16:AW17"/>
    <mergeCell ref="A23:AG23"/>
    <mergeCell ref="AZ27:BA27"/>
    <mergeCell ref="AZ28:BA28"/>
    <mergeCell ref="AZ29:BA29"/>
    <mergeCell ref="A113:AG113"/>
    <mergeCell ref="A45:AG45"/>
    <mergeCell ref="A56:AG56"/>
    <mergeCell ref="A67:AG67"/>
    <mergeCell ref="A78:AG78"/>
    <mergeCell ref="A89:AG89"/>
    <mergeCell ref="A100:AG100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C93C-D273-429C-AAFD-8BD89BE0CC97}">
  <dimension ref="A1:BX136"/>
  <sheetViews>
    <sheetView showGridLines="0" topLeftCell="A28" zoomScale="60" zoomScaleNormal="60" workbookViewId="0">
      <pane xSplit="1" topLeftCell="O1" activePane="topRight" state="frozen"/>
      <selection pane="topRight" activeCell="AB44" sqref="AB44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6" width="24.28515625" style="3" customWidth="1"/>
    <col min="47" max="47" width="30.42578125" style="3" customWidth="1"/>
    <col min="48" max="48" width="21.140625" style="3" customWidth="1"/>
    <col min="49" max="49" width="10.5703125" style="3" customWidth="1"/>
    <col min="51" max="51" width="33.5703125" customWidth="1"/>
    <col min="52" max="53" width="28.7109375" customWidth="1"/>
    <col min="54" max="54" width="29.85546875" customWidth="1"/>
    <col min="55" max="55" width="17" customWidth="1"/>
    <col min="58" max="58" width="14.140625" style="2" customWidth="1"/>
    <col min="59" max="59" width="17.7109375" style="2" customWidth="1"/>
    <col min="60" max="60" width="25.42578125" style="2" customWidth="1"/>
    <col min="61" max="61" width="26.5703125" style="2" customWidth="1"/>
  </cols>
  <sheetData>
    <row r="1" spans="1:61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456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3"/>
      <c r="AY1" s="257" t="s">
        <v>1</v>
      </c>
      <c r="AZ1" s="258"/>
      <c r="BA1" s="258"/>
      <c r="BB1" s="258"/>
      <c r="BC1" s="259"/>
      <c r="BF1" s="263"/>
      <c r="BG1" s="263"/>
      <c r="BH1" s="263"/>
      <c r="BI1" s="263"/>
    </row>
    <row r="2" spans="1:61" s="1" customFormat="1" ht="23.25" customHeight="1" thickBot="1">
      <c r="A2" s="53"/>
      <c r="B2" s="54">
        <v>46204</v>
      </c>
      <c r="C2" s="54">
        <v>46205</v>
      </c>
      <c r="D2" s="54">
        <v>46206</v>
      </c>
      <c r="E2" s="54">
        <v>46207</v>
      </c>
      <c r="F2" s="54">
        <v>46208</v>
      </c>
      <c r="G2" s="54">
        <v>46209</v>
      </c>
      <c r="H2" s="54">
        <v>46210</v>
      </c>
      <c r="I2" s="54">
        <v>46211</v>
      </c>
      <c r="J2" s="54">
        <v>46212</v>
      </c>
      <c r="K2" s="54">
        <v>46213</v>
      </c>
      <c r="L2" s="54">
        <v>46214</v>
      </c>
      <c r="M2" s="54">
        <v>46215</v>
      </c>
      <c r="N2" s="54">
        <v>46216</v>
      </c>
      <c r="O2" s="54">
        <v>46217</v>
      </c>
      <c r="P2" s="54">
        <v>46218</v>
      </c>
      <c r="Q2" s="54">
        <v>46219</v>
      </c>
      <c r="R2" s="54">
        <v>46220</v>
      </c>
      <c r="S2" s="54">
        <v>46221</v>
      </c>
      <c r="T2" s="54">
        <v>46222</v>
      </c>
      <c r="U2" s="54">
        <v>46223</v>
      </c>
      <c r="V2" s="54">
        <v>46224</v>
      </c>
      <c r="W2" s="54">
        <v>46225</v>
      </c>
      <c r="X2" s="54">
        <v>46226</v>
      </c>
      <c r="Y2" s="54">
        <v>46227</v>
      </c>
      <c r="Z2" s="54">
        <v>46228</v>
      </c>
      <c r="AA2" s="54">
        <v>46229</v>
      </c>
      <c r="AB2" s="54">
        <v>46230</v>
      </c>
      <c r="AC2" s="54">
        <v>46231</v>
      </c>
      <c r="AD2" s="54">
        <v>46232</v>
      </c>
      <c r="AE2" s="54">
        <v>46233</v>
      </c>
      <c r="AF2" s="54">
        <v>46234</v>
      </c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Y2" s="260"/>
      <c r="AZ2" s="261"/>
      <c r="BA2" s="261"/>
      <c r="BB2" s="261"/>
      <c r="BC2" s="262"/>
      <c r="BF2" s="263"/>
      <c r="BG2" s="263"/>
      <c r="BH2" s="263"/>
      <c r="BI2" s="263"/>
    </row>
    <row r="3" spans="1:61" ht="21.75" thickBot="1">
      <c r="A3" s="55" t="s">
        <v>5</v>
      </c>
      <c r="B3" s="56">
        <v>20</v>
      </c>
      <c r="C3" s="56">
        <v>33</v>
      </c>
      <c r="D3" s="56">
        <v>30</v>
      </c>
      <c r="E3" s="56">
        <v>49</v>
      </c>
      <c r="F3" s="56">
        <v>38</v>
      </c>
      <c r="G3" s="56">
        <v>28</v>
      </c>
      <c r="H3" s="56">
        <v>40</v>
      </c>
      <c r="I3" s="56">
        <v>22</v>
      </c>
      <c r="J3" s="56">
        <v>32</v>
      </c>
      <c r="K3" s="56">
        <v>38</v>
      </c>
      <c r="L3" s="56">
        <v>70</v>
      </c>
      <c r="M3" s="56">
        <v>51</v>
      </c>
      <c r="N3" s="56">
        <v>30</v>
      </c>
      <c r="O3" s="56">
        <v>38</v>
      </c>
      <c r="P3" s="56">
        <v>43</v>
      </c>
      <c r="Q3" s="56">
        <v>48</v>
      </c>
      <c r="R3" s="56">
        <v>53</v>
      </c>
      <c r="S3" s="56">
        <v>81</v>
      </c>
      <c r="T3" s="56">
        <v>43</v>
      </c>
      <c r="U3" s="56">
        <v>28</v>
      </c>
      <c r="V3" s="56">
        <v>39</v>
      </c>
      <c r="W3" s="56">
        <v>27</v>
      </c>
      <c r="X3" s="56">
        <v>65</v>
      </c>
      <c r="Y3" s="56">
        <v>46</v>
      </c>
      <c r="Z3" s="56">
        <v>89</v>
      </c>
      <c r="AA3" s="56">
        <v>52</v>
      </c>
      <c r="AB3" s="56"/>
      <c r="AC3" s="56"/>
      <c r="AD3" s="56"/>
      <c r="AE3" s="56"/>
      <c r="AF3" s="56"/>
      <c r="AG3" s="63">
        <f>SUM(B3:AF3)</f>
        <v>1133</v>
      </c>
      <c r="AH3" s="63"/>
      <c r="AI3" s="63">
        <f>AG3</f>
        <v>1133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305</v>
      </c>
      <c r="AU3" s="65" t="s">
        <v>14</v>
      </c>
      <c r="AV3" s="65" t="s">
        <v>15</v>
      </c>
      <c r="AW3" s="84" t="s">
        <v>2</v>
      </c>
      <c r="AY3" s="85" t="s">
        <v>16</v>
      </c>
      <c r="AZ3" s="86" t="s">
        <v>17</v>
      </c>
      <c r="BA3" s="86" t="s">
        <v>18</v>
      </c>
      <c r="BB3" s="86" t="s">
        <v>19</v>
      </c>
      <c r="BC3" s="86" t="s">
        <v>20</v>
      </c>
      <c r="BF3" s="110"/>
      <c r="BG3" s="110"/>
      <c r="BH3" s="111"/>
      <c r="BI3" s="110"/>
    </row>
    <row r="4" spans="1:61" ht="21">
      <c r="A4" s="55" t="s">
        <v>21</v>
      </c>
      <c r="B4" s="56">
        <v>15</v>
      </c>
      <c r="C4" s="56">
        <v>21</v>
      </c>
      <c r="D4" s="56">
        <v>18</v>
      </c>
      <c r="E4" s="56">
        <v>33</v>
      </c>
      <c r="F4" s="56">
        <v>22</v>
      </c>
      <c r="G4" s="56">
        <v>20</v>
      </c>
      <c r="H4" s="56">
        <v>23</v>
      </c>
      <c r="I4" s="56">
        <v>11</v>
      </c>
      <c r="J4" s="56">
        <v>22</v>
      </c>
      <c r="K4" s="56">
        <v>20</v>
      </c>
      <c r="L4" s="56">
        <v>40</v>
      </c>
      <c r="M4" s="56">
        <v>32</v>
      </c>
      <c r="N4" s="56">
        <v>19</v>
      </c>
      <c r="O4" s="56">
        <v>23</v>
      </c>
      <c r="P4" s="56">
        <v>28</v>
      </c>
      <c r="Q4" s="56">
        <v>28</v>
      </c>
      <c r="R4" s="56">
        <v>32</v>
      </c>
      <c r="S4" s="56">
        <v>43</v>
      </c>
      <c r="T4" s="56">
        <v>30</v>
      </c>
      <c r="U4" s="56">
        <v>16</v>
      </c>
      <c r="V4" s="56">
        <v>17</v>
      </c>
      <c r="W4" s="56">
        <v>16</v>
      </c>
      <c r="X4" s="56">
        <v>38</v>
      </c>
      <c r="Y4" s="56">
        <v>26</v>
      </c>
      <c r="Z4" s="56">
        <v>51</v>
      </c>
      <c r="AA4" s="56">
        <v>33</v>
      </c>
      <c r="AB4" s="56"/>
      <c r="AC4" s="56"/>
      <c r="AD4" s="56"/>
      <c r="AE4" s="56"/>
      <c r="AF4" s="56"/>
      <c r="AG4" s="63">
        <f t="shared" ref="AG4:AG11" si="0">SUM(B4:AF4)</f>
        <v>677</v>
      </c>
      <c r="AH4" s="63"/>
      <c r="AI4" s="63">
        <f>AG4+AH6+AH7+AH8</f>
        <v>677</v>
      </c>
      <c r="AK4" s="66" t="s">
        <v>5</v>
      </c>
      <c r="AL4" s="67">
        <f>AI3</f>
        <v>1133</v>
      </c>
      <c r="AM4" s="67">
        <f t="shared" ref="AM4:AM12" si="1">AI14</f>
        <v>1129</v>
      </c>
      <c r="AN4" s="67">
        <f t="shared" ref="AN4:AN12" si="2">AI25</f>
        <v>829</v>
      </c>
      <c r="AO4" s="67">
        <f t="shared" ref="AO4:AO12" si="3">AI36</f>
        <v>485</v>
      </c>
      <c r="AP4" s="67">
        <f t="shared" ref="AP4:AP12" si="4">AI47</f>
        <v>407</v>
      </c>
      <c r="AQ4" s="67">
        <f t="shared" ref="AQ4:AQ12" si="5">AI58</f>
        <v>215</v>
      </c>
      <c r="AR4" s="67">
        <f t="shared" ref="AR4:AR12" si="6">AI69</f>
        <v>183</v>
      </c>
      <c r="AS4" s="67">
        <f t="shared" ref="AS4:AS12" si="7">AI80</f>
        <v>90</v>
      </c>
      <c r="AT4" s="67">
        <f t="shared" ref="AT4:AT12" si="8">AI115</f>
        <v>58</v>
      </c>
      <c r="AU4" s="67">
        <f t="shared" ref="AU4:AU12" si="9">AI91</f>
        <v>219</v>
      </c>
      <c r="AV4" s="67">
        <f t="shared" ref="AV4:AV12" si="10">AI102</f>
        <v>184</v>
      </c>
      <c r="AW4" s="87">
        <f t="shared" ref="AW4:AW12" si="11">SUM(AL4:AV4)</f>
        <v>4932</v>
      </c>
      <c r="AY4" s="88">
        <v>1</v>
      </c>
      <c r="AZ4" s="88" t="s">
        <v>7</v>
      </c>
      <c r="BA4" s="88">
        <f>AL5</f>
        <v>677</v>
      </c>
      <c r="BB4" s="88">
        <f>AL7+AL9</f>
        <v>27</v>
      </c>
      <c r="BC4" s="89">
        <f>BB4/BA4</f>
        <v>3.9881831610044313E-2</v>
      </c>
      <c r="BF4" s="112"/>
      <c r="BG4" s="112"/>
      <c r="BH4" s="113"/>
      <c r="BI4" s="112"/>
    </row>
    <row r="5" spans="1:61" ht="21">
      <c r="A5" s="55" t="s">
        <v>22</v>
      </c>
      <c r="B5" s="125">
        <v>15</v>
      </c>
      <c r="C5" s="125">
        <v>21</v>
      </c>
      <c r="D5" s="125">
        <v>17</v>
      </c>
      <c r="E5" s="125">
        <v>32</v>
      </c>
      <c r="F5" s="125">
        <v>22</v>
      </c>
      <c r="G5" s="125">
        <v>18</v>
      </c>
      <c r="H5" s="125">
        <v>18</v>
      </c>
      <c r="I5" s="125">
        <v>11</v>
      </c>
      <c r="J5" s="125">
        <v>21</v>
      </c>
      <c r="K5" s="125">
        <v>18</v>
      </c>
      <c r="L5" s="125">
        <v>39</v>
      </c>
      <c r="M5" s="125">
        <v>31</v>
      </c>
      <c r="N5" s="125">
        <v>18</v>
      </c>
      <c r="O5" s="125">
        <v>22</v>
      </c>
      <c r="P5" s="125">
        <v>27</v>
      </c>
      <c r="Q5" s="125">
        <v>28</v>
      </c>
      <c r="R5" s="125">
        <v>31</v>
      </c>
      <c r="S5" s="125">
        <v>40</v>
      </c>
      <c r="T5" s="125">
        <v>29</v>
      </c>
      <c r="U5" s="125">
        <v>16</v>
      </c>
      <c r="V5" s="125">
        <v>17</v>
      </c>
      <c r="W5" s="125">
        <v>16</v>
      </c>
      <c r="X5" s="125">
        <v>36</v>
      </c>
      <c r="Y5" s="125">
        <v>26</v>
      </c>
      <c r="Z5" s="125">
        <v>48</v>
      </c>
      <c r="AA5" s="125">
        <v>32</v>
      </c>
      <c r="AB5" s="125"/>
      <c r="AC5" s="125"/>
      <c r="AD5" s="125"/>
      <c r="AE5" s="125"/>
      <c r="AF5" s="56"/>
      <c r="AG5" s="63">
        <f t="shared" si="0"/>
        <v>649</v>
      </c>
      <c r="AH5" s="63"/>
      <c r="AI5" s="63">
        <f t="shared" ref="AI5:AI11" si="12">AG5-AH5</f>
        <v>649</v>
      </c>
      <c r="AK5" s="66" t="s">
        <v>21</v>
      </c>
      <c r="AL5" s="67">
        <f t="shared" ref="AL5:AL12" si="13">AI4</f>
        <v>677</v>
      </c>
      <c r="AM5" s="67">
        <f t="shared" si="1"/>
        <v>629</v>
      </c>
      <c r="AN5" s="67">
        <f t="shared" si="2"/>
        <v>583</v>
      </c>
      <c r="AO5" s="67">
        <f t="shared" si="3"/>
        <v>362</v>
      </c>
      <c r="AP5" s="67">
        <f t="shared" si="4"/>
        <v>261</v>
      </c>
      <c r="AQ5" s="67">
        <f t="shared" si="5"/>
        <v>127</v>
      </c>
      <c r="AR5" s="67">
        <f t="shared" si="6"/>
        <v>118</v>
      </c>
      <c r="AS5" s="67">
        <f t="shared" si="7"/>
        <v>53</v>
      </c>
      <c r="AT5" s="67">
        <f t="shared" si="8"/>
        <v>29</v>
      </c>
      <c r="AU5" s="67">
        <f t="shared" si="9"/>
        <v>110</v>
      </c>
      <c r="AV5" s="67">
        <f t="shared" si="10"/>
        <v>89</v>
      </c>
      <c r="AW5" s="87">
        <f t="shared" si="11"/>
        <v>3038</v>
      </c>
      <c r="AY5" s="90">
        <v>2</v>
      </c>
      <c r="AZ5" s="90" t="s">
        <v>8</v>
      </c>
      <c r="BA5" s="90">
        <f>AM5</f>
        <v>629</v>
      </c>
      <c r="BB5" s="90">
        <f>AM7+AM9</f>
        <v>19</v>
      </c>
      <c r="BC5" s="89">
        <f t="shared" ref="BC5:BC13" si="14">BB5/BA5</f>
        <v>3.0206677265500796E-2</v>
      </c>
      <c r="BF5" s="112"/>
      <c r="BG5" s="112"/>
      <c r="BH5" s="113"/>
      <c r="BI5" s="114"/>
    </row>
    <row r="6" spans="1:61" ht="21">
      <c r="A6" s="55" t="s">
        <v>23</v>
      </c>
      <c r="B6" s="125">
        <v>0</v>
      </c>
      <c r="C6" s="125">
        <v>0</v>
      </c>
      <c r="D6" s="125">
        <v>0</v>
      </c>
      <c r="E6" s="125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1</v>
      </c>
      <c r="AB6" s="125"/>
      <c r="AC6" s="125"/>
      <c r="AD6" s="125"/>
      <c r="AE6" s="125"/>
      <c r="AF6" s="56"/>
      <c r="AG6" s="63">
        <f t="shared" si="0"/>
        <v>1</v>
      </c>
      <c r="AH6" s="63"/>
      <c r="AI6" s="63">
        <f t="shared" si="12"/>
        <v>1</v>
      </c>
      <c r="AK6" s="68" t="s">
        <v>22</v>
      </c>
      <c r="AL6" s="69">
        <f t="shared" si="13"/>
        <v>649</v>
      </c>
      <c r="AM6" s="69">
        <f t="shared" si="1"/>
        <v>608</v>
      </c>
      <c r="AN6" s="69">
        <f t="shared" si="2"/>
        <v>550</v>
      </c>
      <c r="AO6" s="69">
        <f t="shared" si="3"/>
        <v>338</v>
      </c>
      <c r="AP6" s="69">
        <f t="shared" si="4"/>
        <v>243</v>
      </c>
      <c r="AQ6" s="69">
        <f t="shared" si="5"/>
        <v>112</v>
      </c>
      <c r="AR6" s="69">
        <f t="shared" si="6"/>
        <v>107</v>
      </c>
      <c r="AS6" s="69">
        <f t="shared" si="7"/>
        <v>49</v>
      </c>
      <c r="AT6" s="69">
        <f t="shared" si="8"/>
        <v>27</v>
      </c>
      <c r="AU6" s="69">
        <f t="shared" si="9"/>
        <v>110</v>
      </c>
      <c r="AV6" s="69">
        <f t="shared" si="10"/>
        <v>90</v>
      </c>
      <c r="AW6" s="91">
        <f t="shared" si="11"/>
        <v>2883</v>
      </c>
      <c r="AY6" s="90">
        <v>3</v>
      </c>
      <c r="AZ6" s="90" t="s">
        <v>9</v>
      </c>
      <c r="BA6" s="90">
        <f>AN5</f>
        <v>583</v>
      </c>
      <c r="BB6" s="90">
        <f>AN7+AN9</f>
        <v>30</v>
      </c>
      <c r="BC6" s="89">
        <f t="shared" si="14"/>
        <v>5.1457975986277875E-2</v>
      </c>
      <c r="BF6" s="112"/>
      <c r="BG6" s="112"/>
      <c r="BH6" s="113"/>
      <c r="BI6" s="112"/>
    </row>
    <row r="7" spans="1:61" ht="21">
      <c r="A7" s="55" t="s">
        <v>24</v>
      </c>
      <c r="B7" s="125">
        <v>0</v>
      </c>
      <c r="C7" s="125">
        <v>0</v>
      </c>
      <c r="D7" s="125">
        <v>0</v>
      </c>
      <c r="E7" s="125">
        <v>0</v>
      </c>
      <c r="F7" s="125">
        <v>0</v>
      </c>
      <c r="G7" s="125">
        <v>0</v>
      </c>
      <c r="H7" s="125">
        <v>1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0</v>
      </c>
      <c r="AB7" s="125"/>
      <c r="AC7" s="125"/>
      <c r="AD7" s="125"/>
      <c r="AE7" s="125"/>
      <c r="AF7" s="56"/>
      <c r="AG7" s="63">
        <f t="shared" si="0"/>
        <v>1</v>
      </c>
      <c r="AH7" s="63"/>
      <c r="AI7" s="63">
        <f t="shared" si="12"/>
        <v>1</v>
      </c>
      <c r="AK7" s="68" t="s">
        <v>23</v>
      </c>
      <c r="AL7" s="69">
        <f t="shared" si="13"/>
        <v>1</v>
      </c>
      <c r="AM7" s="69">
        <f t="shared" si="1"/>
        <v>2</v>
      </c>
      <c r="AN7" s="69">
        <f t="shared" si="2"/>
        <v>12</v>
      </c>
      <c r="AO7" s="69">
        <f t="shared" si="3"/>
        <v>8</v>
      </c>
      <c r="AP7" s="69">
        <f t="shared" si="4"/>
        <v>6</v>
      </c>
      <c r="AQ7" s="69">
        <f t="shared" si="5"/>
        <v>0</v>
      </c>
      <c r="AR7" s="69">
        <f t="shared" si="6"/>
        <v>0</v>
      </c>
      <c r="AS7" s="69">
        <f t="shared" si="7"/>
        <v>0</v>
      </c>
      <c r="AT7" s="69">
        <f t="shared" si="8"/>
        <v>1</v>
      </c>
      <c r="AU7" s="69">
        <f t="shared" si="9"/>
        <v>0</v>
      </c>
      <c r="AV7" s="69">
        <f t="shared" si="10"/>
        <v>1</v>
      </c>
      <c r="AW7" s="91">
        <f t="shared" si="11"/>
        <v>31</v>
      </c>
      <c r="AY7" s="90">
        <v>4</v>
      </c>
      <c r="AZ7" s="90" t="s">
        <v>25</v>
      </c>
      <c r="BA7" s="90">
        <f>AO5</f>
        <v>362</v>
      </c>
      <c r="BB7" s="90">
        <f>AO7+AO9</f>
        <v>11</v>
      </c>
      <c r="BC7" s="89">
        <f t="shared" si="14"/>
        <v>3.0386740331491711E-2</v>
      </c>
      <c r="BF7" s="112"/>
      <c r="BG7" s="112"/>
      <c r="BH7" s="113"/>
      <c r="BI7" s="114"/>
    </row>
    <row r="8" spans="1:61" ht="21">
      <c r="A8" s="55" t="s">
        <v>26</v>
      </c>
      <c r="B8" s="125">
        <v>0</v>
      </c>
      <c r="C8" s="125">
        <v>0</v>
      </c>
      <c r="D8" s="125">
        <v>1</v>
      </c>
      <c r="E8" s="125">
        <v>1</v>
      </c>
      <c r="F8" s="125">
        <v>0</v>
      </c>
      <c r="G8" s="125">
        <v>2</v>
      </c>
      <c r="H8" s="125">
        <v>4</v>
      </c>
      <c r="I8" s="125">
        <v>0</v>
      </c>
      <c r="J8" s="125">
        <v>1</v>
      </c>
      <c r="K8" s="125">
        <v>2</v>
      </c>
      <c r="L8" s="125">
        <v>1</v>
      </c>
      <c r="M8" s="125">
        <v>1</v>
      </c>
      <c r="N8" s="125">
        <v>1</v>
      </c>
      <c r="O8" s="125">
        <v>1</v>
      </c>
      <c r="P8" s="125">
        <v>1</v>
      </c>
      <c r="Q8" s="125">
        <v>0</v>
      </c>
      <c r="R8" s="125">
        <v>1</v>
      </c>
      <c r="S8" s="125">
        <v>3</v>
      </c>
      <c r="T8" s="125">
        <v>1</v>
      </c>
      <c r="U8" s="125">
        <v>0</v>
      </c>
      <c r="V8" s="125">
        <v>0</v>
      </c>
      <c r="W8" s="125">
        <v>0</v>
      </c>
      <c r="X8" s="125">
        <v>2</v>
      </c>
      <c r="Y8" s="125">
        <v>0</v>
      </c>
      <c r="Z8" s="125">
        <v>3</v>
      </c>
      <c r="AA8" s="125">
        <v>0</v>
      </c>
      <c r="AB8" s="125"/>
      <c r="AC8" s="125"/>
      <c r="AD8" s="125"/>
      <c r="AE8" s="125"/>
      <c r="AF8" s="56"/>
      <c r="AG8" s="63">
        <f t="shared" si="0"/>
        <v>26</v>
      </c>
      <c r="AH8" s="63"/>
      <c r="AI8" s="63">
        <f t="shared" si="12"/>
        <v>26</v>
      </c>
      <c r="AJ8" t="s">
        <v>27</v>
      </c>
      <c r="AK8" s="68" t="s">
        <v>24</v>
      </c>
      <c r="AL8" s="69">
        <f t="shared" si="13"/>
        <v>1</v>
      </c>
      <c r="AM8" s="69">
        <f t="shared" si="1"/>
        <v>2</v>
      </c>
      <c r="AN8" s="69">
        <f t="shared" si="2"/>
        <v>3</v>
      </c>
      <c r="AO8" s="69">
        <f t="shared" si="3"/>
        <v>13</v>
      </c>
      <c r="AP8" s="69">
        <f t="shared" si="4"/>
        <v>2</v>
      </c>
      <c r="AQ8" s="69">
        <f t="shared" si="5"/>
        <v>0</v>
      </c>
      <c r="AR8" s="69">
        <f t="shared" si="6"/>
        <v>0</v>
      </c>
      <c r="AS8" s="69">
        <f t="shared" si="7"/>
        <v>0</v>
      </c>
      <c r="AT8" s="69">
        <f t="shared" si="8"/>
        <v>0</v>
      </c>
      <c r="AU8" s="69">
        <f t="shared" si="9"/>
        <v>0</v>
      </c>
      <c r="AV8" s="69">
        <f t="shared" si="10"/>
        <v>0</v>
      </c>
      <c r="AW8" s="91">
        <f t="shared" si="11"/>
        <v>21</v>
      </c>
      <c r="AY8" s="90">
        <v>5</v>
      </c>
      <c r="AZ8" s="90" t="s">
        <v>11</v>
      </c>
      <c r="BA8" s="90">
        <f>AP5</f>
        <v>261</v>
      </c>
      <c r="BB8" s="90">
        <f>AP7+AP9</f>
        <v>16</v>
      </c>
      <c r="BC8" s="89">
        <f t="shared" si="14"/>
        <v>6.1302681992337162E-2</v>
      </c>
      <c r="BF8" s="112"/>
      <c r="BG8" s="112"/>
      <c r="BH8" s="113"/>
      <c r="BI8" s="114"/>
    </row>
    <row r="9" spans="1:61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2"/>
        <v>0</v>
      </c>
      <c r="AK9" s="68" t="s">
        <v>26</v>
      </c>
      <c r="AL9" s="69">
        <f t="shared" si="13"/>
        <v>26</v>
      </c>
      <c r="AM9" s="69">
        <f t="shared" si="1"/>
        <v>17</v>
      </c>
      <c r="AN9" s="69">
        <f t="shared" si="2"/>
        <v>18</v>
      </c>
      <c r="AO9" s="69">
        <f t="shared" si="3"/>
        <v>3</v>
      </c>
      <c r="AP9" s="69">
        <f t="shared" si="4"/>
        <v>10</v>
      </c>
      <c r="AQ9" s="69">
        <f t="shared" si="5"/>
        <v>15</v>
      </c>
      <c r="AR9" s="69">
        <f t="shared" si="6"/>
        <v>11</v>
      </c>
      <c r="AS9" s="69">
        <f t="shared" si="7"/>
        <v>4</v>
      </c>
      <c r="AT9" s="69">
        <f t="shared" si="8"/>
        <v>1</v>
      </c>
      <c r="AU9" s="69">
        <f t="shared" si="9"/>
        <v>0</v>
      </c>
      <c r="AV9" s="69">
        <f t="shared" si="10"/>
        <v>0</v>
      </c>
      <c r="AW9" s="91">
        <f t="shared" si="11"/>
        <v>105</v>
      </c>
      <c r="AY9" s="90">
        <v>6</v>
      </c>
      <c r="AZ9" s="90" t="s">
        <v>13</v>
      </c>
      <c r="BA9" s="90">
        <f>AQ5</f>
        <v>127</v>
      </c>
      <c r="BB9" s="90">
        <f>AQ7+AQ9</f>
        <v>15</v>
      </c>
      <c r="BC9" s="89">
        <f t="shared" si="14"/>
        <v>0.11811023622047244</v>
      </c>
      <c r="BF9" s="112"/>
      <c r="BG9" s="112"/>
      <c r="BH9" s="113"/>
      <c r="BI9" s="112"/>
    </row>
    <row r="10" spans="1:61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2"/>
        <v>0</v>
      </c>
      <c r="AK10" s="66" t="s">
        <v>28</v>
      </c>
      <c r="AL10" s="67">
        <f t="shared" si="13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67">
        <f t="shared" si="10"/>
        <v>0</v>
      </c>
      <c r="AW10" s="87">
        <f t="shared" si="11"/>
        <v>0</v>
      </c>
      <c r="AY10" s="90">
        <v>7</v>
      </c>
      <c r="AZ10" s="90" t="s">
        <v>125</v>
      </c>
      <c r="BA10" s="90">
        <f>AR5</f>
        <v>118</v>
      </c>
      <c r="BB10" s="90">
        <f>AR7+AR9</f>
        <v>11</v>
      </c>
      <c r="BC10" s="89">
        <f t="shared" si="14"/>
        <v>9.3220338983050849E-2</v>
      </c>
      <c r="BF10" s="112"/>
      <c r="BG10" s="112"/>
      <c r="BH10" s="113"/>
      <c r="BI10" s="112"/>
    </row>
    <row r="11" spans="1:61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2"/>
        <v>0</v>
      </c>
      <c r="AK11" s="66" t="s">
        <v>29</v>
      </c>
      <c r="AL11" s="72">
        <f t="shared" si="13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67">
        <f t="shared" si="8"/>
        <v>0</v>
      </c>
      <c r="AU11" s="72">
        <f t="shared" si="9"/>
        <v>0</v>
      </c>
      <c r="AV11" s="72">
        <f t="shared" si="10"/>
        <v>0</v>
      </c>
      <c r="AW11" s="92">
        <f t="shared" si="11"/>
        <v>0</v>
      </c>
      <c r="AY11" s="90">
        <v>8</v>
      </c>
      <c r="AZ11" s="90" t="s">
        <v>126</v>
      </c>
      <c r="BA11" s="90">
        <f>AS5</f>
        <v>53</v>
      </c>
      <c r="BB11" s="90">
        <f>AS7+AS9</f>
        <v>4</v>
      </c>
      <c r="BC11" s="89">
        <f t="shared" si="14"/>
        <v>7.5471698113207544E-2</v>
      </c>
      <c r="BF11" s="112"/>
      <c r="BG11" s="112"/>
      <c r="BH11" s="113"/>
      <c r="BI11" s="112"/>
    </row>
    <row r="12" spans="1:61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3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67">
        <f t="shared" si="8"/>
        <v>0</v>
      </c>
      <c r="AU12" s="72">
        <f t="shared" si="9"/>
        <v>0</v>
      </c>
      <c r="AV12" s="72">
        <f t="shared" si="10"/>
        <v>0</v>
      </c>
      <c r="AW12" s="92">
        <f t="shared" si="11"/>
        <v>0</v>
      </c>
      <c r="AY12" s="90">
        <v>9</v>
      </c>
      <c r="AZ12" s="90" t="s">
        <v>14</v>
      </c>
      <c r="BA12" s="90">
        <f>AU5</f>
        <v>110</v>
      </c>
      <c r="BB12" s="90">
        <f>AU7+AU9</f>
        <v>0</v>
      </c>
      <c r="BC12" s="89">
        <f t="shared" si="14"/>
        <v>0</v>
      </c>
      <c r="BF12" s="112"/>
      <c r="BG12" s="112"/>
      <c r="BH12" s="113"/>
      <c r="BI12" s="114"/>
    </row>
    <row r="13" spans="1:61" ht="21">
      <c r="A13" s="53"/>
      <c r="B13" s="54">
        <v>46204</v>
      </c>
      <c r="C13" s="54">
        <v>46205</v>
      </c>
      <c r="D13" s="54">
        <v>46206</v>
      </c>
      <c r="E13" s="54">
        <v>46207</v>
      </c>
      <c r="F13" s="54">
        <v>46208</v>
      </c>
      <c r="G13" s="54">
        <v>46209</v>
      </c>
      <c r="H13" s="54">
        <v>46210</v>
      </c>
      <c r="I13" s="54">
        <v>46211</v>
      </c>
      <c r="J13" s="54">
        <v>46212</v>
      </c>
      <c r="K13" s="54">
        <v>46213</v>
      </c>
      <c r="L13" s="54">
        <v>46214</v>
      </c>
      <c r="M13" s="54">
        <v>46215</v>
      </c>
      <c r="N13" s="54">
        <v>46216</v>
      </c>
      <c r="O13" s="54">
        <v>46217</v>
      </c>
      <c r="P13" s="54">
        <v>46218</v>
      </c>
      <c r="Q13" s="54">
        <v>46219</v>
      </c>
      <c r="R13" s="54">
        <v>46220</v>
      </c>
      <c r="S13" s="54">
        <v>46221</v>
      </c>
      <c r="T13" s="54">
        <v>46222</v>
      </c>
      <c r="U13" s="54">
        <v>46223</v>
      </c>
      <c r="V13" s="54">
        <v>46224</v>
      </c>
      <c r="W13" s="54">
        <v>46225</v>
      </c>
      <c r="X13" s="54">
        <v>46226</v>
      </c>
      <c r="Y13" s="54">
        <v>46227</v>
      </c>
      <c r="Z13" s="54">
        <v>46228</v>
      </c>
      <c r="AA13" s="54">
        <v>46229</v>
      </c>
      <c r="AB13" s="54">
        <v>46230</v>
      </c>
      <c r="AC13" s="54">
        <v>46231</v>
      </c>
      <c r="AD13" s="54">
        <v>46232</v>
      </c>
      <c r="AE13" s="54">
        <v>46233</v>
      </c>
      <c r="AF13" s="54">
        <v>46234</v>
      </c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27</v>
      </c>
      <c r="AM13" s="74">
        <f t="shared" ref="AM13:AW13" si="15">AM7+AM9</f>
        <v>19</v>
      </c>
      <c r="AN13" s="74">
        <f t="shared" si="15"/>
        <v>30</v>
      </c>
      <c r="AO13" s="74">
        <f t="shared" si="15"/>
        <v>11</v>
      </c>
      <c r="AP13" s="74">
        <f t="shared" si="15"/>
        <v>16</v>
      </c>
      <c r="AQ13" s="74">
        <f t="shared" si="15"/>
        <v>15</v>
      </c>
      <c r="AR13" s="74">
        <f t="shared" si="15"/>
        <v>11</v>
      </c>
      <c r="AS13" s="74">
        <f t="shared" si="15"/>
        <v>4</v>
      </c>
      <c r="AT13" s="74">
        <f t="shared" si="15"/>
        <v>2</v>
      </c>
      <c r="AU13" s="74">
        <f t="shared" si="15"/>
        <v>0</v>
      </c>
      <c r="AV13" s="74">
        <f t="shared" si="15"/>
        <v>1</v>
      </c>
      <c r="AW13" s="93">
        <f t="shared" si="15"/>
        <v>136</v>
      </c>
      <c r="AY13" s="90">
        <v>10</v>
      </c>
      <c r="AZ13" s="90" t="s">
        <v>15</v>
      </c>
      <c r="BA13" s="90">
        <f>AV5</f>
        <v>89</v>
      </c>
      <c r="BB13" s="90">
        <f>AV7+AV9</f>
        <v>1</v>
      </c>
      <c r="BC13" s="89">
        <f t="shared" si="14"/>
        <v>1.1235955056179775E-2</v>
      </c>
      <c r="BF13" s="112"/>
      <c r="BG13" s="112"/>
      <c r="BH13" s="113"/>
      <c r="BI13" s="114"/>
    </row>
    <row r="14" spans="1:61" ht="21.75" thickBot="1">
      <c r="A14" s="55" t="s">
        <v>5</v>
      </c>
      <c r="B14" s="56">
        <v>29</v>
      </c>
      <c r="C14" s="56">
        <v>44</v>
      </c>
      <c r="D14" s="56">
        <v>40</v>
      </c>
      <c r="E14" s="56">
        <v>55</v>
      </c>
      <c r="F14" s="56">
        <v>31</v>
      </c>
      <c r="G14" s="56">
        <v>22</v>
      </c>
      <c r="H14" s="56">
        <v>19</v>
      </c>
      <c r="I14" s="56">
        <v>29</v>
      </c>
      <c r="J14" s="56">
        <v>28</v>
      </c>
      <c r="K14" s="56">
        <v>30</v>
      </c>
      <c r="L14" s="56">
        <v>64</v>
      </c>
      <c r="M14" s="56">
        <v>44</v>
      </c>
      <c r="N14" s="56">
        <v>29</v>
      </c>
      <c r="O14" s="56">
        <v>31</v>
      </c>
      <c r="P14" s="56">
        <v>31</v>
      </c>
      <c r="Q14" s="56">
        <v>43</v>
      </c>
      <c r="R14" s="56">
        <v>73</v>
      </c>
      <c r="S14" s="56">
        <v>81</v>
      </c>
      <c r="T14" s="56">
        <v>62</v>
      </c>
      <c r="U14" s="56">
        <v>30</v>
      </c>
      <c r="V14" s="56">
        <v>44</v>
      </c>
      <c r="W14" s="56">
        <v>32</v>
      </c>
      <c r="X14" s="56">
        <v>63</v>
      </c>
      <c r="Y14" s="56">
        <v>43</v>
      </c>
      <c r="Z14" s="56">
        <v>82</v>
      </c>
      <c r="AA14" s="56">
        <v>50</v>
      </c>
      <c r="AB14" s="56"/>
      <c r="AC14" s="56"/>
      <c r="AD14" s="56"/>
      <c r="AE14" s="56"/>
      <c r="AF14" s="56"/>
      <c r="AG14" s="63">
        <f>SUM(B14:AF14)</f>
        <v>1129</v>
      </c>
      <c r="AH14" s="63"/>
      <c r="AI14" s="63">
        <f>AG14</f>
        <v>1129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Y14" s="63"/>
      <c r="AZ14" s="63"/>
      <c r="BA14" s="63"/>
      <c r="BB14" s="63"/>
      <c r="BC14" s="63"/>
      <c r="BF14" s="112"/>
      <c r="BG14" s="112"/>
      <c r="BH14" s="113"/>
      <c r="BI14" s="114"/>
    </row>
    <row r="15" spans="1:61" ht="21">
      <c r="A15" s="55" t="s">
        <v>21</v>
      </c>
      <c r="B15" s="56">
        <v>20</v>
      </c>
      <c r="C15" s="56">
        <v>26</v>
      </c>
      <c r="D15" s="56">
        <v>24</v>
      </c>
      <c r="E15" s="56">
        <v>32</v>
      </c>
      <c r="F15" s="56">
        <v>14</v>
      </c>
      <c r="G15" s="56">
        <v>12</v>
      </c>
      <c r="H15" s="56">
        <v>10</v>
      </c>
      <c r="I15" s="56">
        <v>13</v>
      </c>
      <c r="J15" s="56">
        <v>18</v>
      </c>
      <c r="K15" s="56">
        <v>11</v>
      </c>
      <c r="L15" s="56">
        <v>37</v>
      </c>
      <c r="M15" s="56">
        <v>25</v>
      </c>
      <c r="N15" s="56">
        <v>14</v>
      </c>
      <c r="O15" s="56">
        <v>17</v>
      </c>
      <c r="P15" s="56">
        <v>19</v>
      </c>
      <c r="Q15" s="56">
        <v>30</v>
      </c>
      <c r="R15" s="56">
        <v>43</v>
      </c>
      <c r="S15" s="56">
        <v>50</v>
      </c>
      <c r="T15" s="56">
        <v>40</v>
      </c>
      <c r="U15" s="56">
        <v>13</v>
      </c>
      <c r="V15" s="56">
        <v>22</v>
      </c>
      <c r="W15" s="56">
        <v>21</v>
      </c>
      <c r="X15" s="56">
        <v>36</v>
      </c>
      <c r="Y15" s="56">
        <v>21</v>
      </c>
      <c r="Z15" s="56">
        <v>36</v>
      </c>
      <c r="AA15" s="56">
        <v>25</v>
      </c>
      <c r="AB15" s="56"/>
      <c r="AC15" s="56"/>
      <c r="AD15" s="56"/>
      <c r="AE15" s="56"/>
      <c r="AF15" s="56"/>
      <c r="AG15" s="63">
        <f t="shared" ref="AG15:AG22" si="16">SUM(B15:AF15)</f>
        <v>629</v>
      </c>
      <c r="AH15" s="63"/>
      <c r="AI15" s="63">
        <f>AG15+AH17+AH18+AH19</f>
        <v>629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Y15" s="94" t="s">
        <v>35</v>
      </c>
      <c r="AZ15" s="95" t="s">
        <v>36</v>
      </c>
      <c r="BA15" s="95" t="s">
        <v>2</v>
      </c>
      <c r="BB15" s="95" t="s">
        <v>37</v>
      </c>
      <c r="BC15" s="96" t="s">
        <v>38</v>
      </c>
      <c r="BF15" s="112"/>
      <c r="BG15" s="112"/>
      <c r="BH15" s="113"/>
      <c r="BI15" s="112"/>
    </row>
    <row r="16" spans="1:61" ht="18.75" customHeight="1">
      <c r="A16" s="55" t="s">
        <v>22</v>
      </c>
      <c r="B16" s="125">
        <v>20</v>
      </c>
      <c r="C16" s="125">
        <v>26</v>
      </c>
      <c r="D16" s="125">
        <v>22</v>
      </c>
      <c r="E16" s="125">
        <v>32</v>
      </c>
      <c r="F16" s="125">
        <v>14</v>
      </c>
      <c r="G16" s="125">
        <v>12</v>
      </c>
      <c r="H16" s="125">
        <v>10</v>
      </c>
      <c r="I16" s="125">
        <v>12</v>
      </c>
      <c r="J16" s="125">
        <v>16</v>
      </c>
      <c r="K16" s="125">
        <v>11</v>
      </c>
      <c r="L16" s="125">
        <v>37</v>
      </c>
      <c r="M16" s="125">
        <v>25</v>
      </c>
      <c r="N16" s="125">
        <v>12</v>
      </c>
      <c r="O16" s="125">
        <v>17</v>
      </c>
      <c r="P16" s="125">
        <v>14</v>
      </c>
      <c r="Q16" s="125">
        <v>30</v>
      </c>
      <c r="R16" s="125">
        <v>40</v>
      </c>
      <c r="S16" s="125">
        <v>50</v>
      </c>
      <c r="T16" s="125">
        <v>39</v>
      </c>
      <c r="U16" s="125">
        <v>13</v>
      </c>
      <c r="V16" s="125">
        <v>22</v>
      </c>
      <c r="W16" s="125">
        <v>20</v>
      </c>
      <c r="X16" s="125">
        <v>34</v>
      </c>
      <c r="Y16" s="125">
        <v>20</v>
      </c>
      <c r="Z16" s="125">
        <v>35</v>
      </c>
      <c r="AA16" s="125">
        <v>25</v>
      </c>
      <c r="AB16" s="125"/>
      <c r="AC16" s="125"/>
      <c r="AD16" s="125"/>
      <c r="AE16" s="125"/>
      <c r="AF16" s="56"/>
      <c r="AG16" s="63">
        <f t="shared" si="16"/>
        <v>608</v>
      </c>
      <c r="AH16" s="63"/>
      <c r="AI16" s="63">
        <f>AG16+AH17+AH18+AH19</f>
        <v>608</v>
      </c>
      <c r="AK16" s="265" t="s">
        <v>457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Y16" s="97">
        <v>100</v>
      </c>
      <c r="AZ16" s="98">
        <v>0.02</v>
      </c>
      <c r="BA16" s="63">
        <f t="shared" ref="BA16:BA25" si="17">AY16*AZ16</f>
        <v>2</v>
      </c>
      <c r="BB16" s="63">
        <v>1</v>
      </c>
      <c r="BC16" s="99">
        <f>BA16-BB16</f>
        <v>1</v>
      </c>
      <c r="BF16" s="112"/>
      <c r="BG16" s="112"/>
      <c r="BH16" s="113"/>
      <c r="BI16" s="114"/>
    </row>
    <row r="17" spans="1:61" ht="18.75" customHeight="1">
      <c r="A17" s="55" t="s">
        <v>23</v>
      </c>
      <c r="B17" s="125">
        <v>0</v>
      </c>
      <c r="C17" s="125">
        <v>0</v>
      </c>
      <c r="D17" s="125">
        <v>0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5">
        <v>0</v>
      </c>
      <c r="O17" s="125">
        <v>0</v>
      </c>
      <c r="P17" s="125">
        <v>0</v>
      </c>
      <c r="Q17" s="125">
        <v>0</v>
      </c>
      <c r="R17" s="125">
        <v>0</v>
      </c>
      <c r="S17" s="125">
        <v>0</v>
      </c>
      <c r="T17" s="125">
        <v>0</v>
      </c>
      <c r="U17" s="125">
        <v>0</v>
      </c>
      <c r="V17" s="125">
        <v>0</v>
      </c>
      <c r="W17" s="125">
        <v>1</v>
      </c>
      <c r="X17" s="125">
        <v>0</v>
      </c>
      <c r="Y17" s="125">
        <v>0</v>
      </c>
      <c r="Z17" s="125">
        <v>1</v>
      </c>
      <c r="AA17" s="125">
        <v>0</v>
      </c>
      <c r="AB17" s="125"/>
      <c r="AC17" s="125"/>
      <c r="AD17" s="125"/>
      <c r="AE17" s="125"/>
      <c r="AF17" s="56"/>
      <c r="AG17" s="63">
        <f t="shared" si="16"/>
        <v>2</v>
      </c>
      <c r="AH17" s="63"/>
      <c r="AI17" s="63">
        <f t="shared" ref="AI17:AI22" si="18">AG17-AH17</f>
        <v>2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70"/>
      <c r="AY17" s="97">
        <v>200</v>
      </c>
      <c r="AZ17" s="98">
        <v>0.02</v>
      </c>
      <c r="BA17" s="63">
        <f t="shared" si="17"/>
        <v>4</v>
      </c>
      <c r="BB17" s="63">
        <v>1</v>
      </c>
      <c r="BC17" s="99">
        <f t="shared" ref="BC17:BC25" si="19">BA17-BB17</f>
        <v>3</v>
      </c>
      <c r="BF17" s="112"/>
      <c r="BG17" s="112"/>
      <c r="BH17" s="113"/>
      <c r="BI17" s="112"/>
    </row>
    <row r="18" spans="1:61" ht="23.25">
      <c r="A18" s="55" t="s">
        <v>24</v>
      </c>
      <c r="B18" s="125">
        <v>0</v>
      </c>
      <c r="C18" s="125">
        <v>0</v>
      </c>
      <c r="D18" s="125">
        <v>0</v>
      </c>
      <c r="E18" s="125">
        <v>0</v>
      </c>
      <c r="F18" s="125">
        <v>0</v>
      </c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1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0</v>
      </c>
      <c r="Y18" s="125">
        <v>1</v>
      </c>
      <c r="Z18" s="125">
        <v>0</v>
      </c>
      <c r="AA18" s="125">
        <v>0</v>
      </c>
      <c r="AB18" s="125"/>
      <c r="AC18" s="125"/>
      <c r="AD18" s="125"/>
      <c r="AE18" s="125"/>
      <c r="AF18" s="56"/>
      <c r="AG18" s="63">
        <f t="shared" si="16"/>
        <v>2</v>
      </c>
      <c r="AH18" s="63"/>
      <c r="AI18" s="63">
        <f t="shared" si="18"/>
        <v>2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65" t="s">
        <v>305</v>
      </c>
      <c r="AU18" s="76" t="s">
        <v>14</v>
      </c>
      <c r="AV18" s="76" t="s">
        <v>15</v>
      </c>
      <c r="AW18" s="100" t="s">
        <v>2</v>
      </c>
      <c r="AY18" s="97">
        <v>300</v>
      </c>
      <c r="AZ18" s="98">
        <v>0.02</v>
      </c>
      <c r="BA18" s="63">
        <f t="shared" si="17"/>
        <v>6</v>
      </c>
      <c r="BB18" s="63">
        <v>1</v>
      </c>
      <c r="BC18" s="99">
        <f t="shared" si="19"/>
        <v>5</v>
      </c>
      <c r="BF18" s="115"/>
      <c r="BG18" s="115"/>
      <c r="BH18" s="115"/>
      <c r="BI18" s="112"/>
    </row>
    <row r="19" spans="1:61" ht="23.25">
      <c r="A19" s="55" t="s">
        <v>26</v>
      </c>
      <c r="B19" s="125">
        <v>0</v>
      </c>
      <c r="C19" s="125">
        <v>0</v>
      </c>
      <c r="D19" s="125">
        <v>2</v>
      </c>
      <c r="E19" s="125">
        <v>0</v>
      </c>
      <c r="F19" s="125">
        <v>0</v>
      </c>
      <c r="G19" s="125">
        <v>0</v>
      </c>
      <c r="H19" s="125">
        <v>0</v>
      </c>
      <c r="I19" s="125">
        <v>1</v>
      </c>
      <c r="J19" s="125">
        <v>2</v>
      </c>
      <c r="K19" s="125">
        <v>0</v>
      </c>
      <c r="L19" s="125">
        <v>0</v>
      </c>
      <c r="M19" s="125">
        <v>0</v>
      </c>
      <c r="N19" s="125">
        <v>2</v>
      </c>
      <c r="O19" s="125">
        <v>0</v>
      </c>
      <c r="P19" s="125">
        <v>4</v>
      </c>
      <c r="Q19" s="125">
        <v>0</v>
      </c>
      <c r="R19" s="125">
        <v>3</v>
      </c>
      <c r="S19" s="125">
        <v>0</v>
      </c>
      <c r="T19" s="125">
        <v>1</v>
      </c>
      <c r="U19" s="125">
        <v>0</v>
      </c>
      <c r="V19" s="125">
        <v>0</v>
      </c>
      <c r="W19" s="125">
        <v>0</v>
      </c>
      <c r="X19" s="125">
        <v>2</v>
      </c>
      <c r="Y19" s="125">
        <v>0</v>
      </c>
      <c r="Z19" s="125">
        <v>0</v>
      </c>
      <c r="AA19" s="125">
        <v>0</v>
      </c>
      <c r="AB19" s="125"/>
      <c r="AC19" s="125"/>
      <c r="AD19" s="125"/>
      <c r="AE19" s="125"/>
      <c r="AF19" s="56"/>
      <c r="AG19" s="63">
        <f t="shared" si="16"/>
        <v>17</v>
      </c>
      <c r="AH19" s="63"/>
      <c r="AI19" s="63">
        <f t="shared" si="18"/>
        <v>17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101"/>
      <c r="AY19" s="97">
        <v>400</v>
      </c>
      <c r="AZ19" s="98">
        <v>0.02</v>
      </c>
      <c r="BA19" s="63">
        <f t="shared" si="17"/>
        <v>8</v>
      </c>
      <c r="BB19" s="63">
        <v>1</v>
      </c>
      <c r="BC19" s="99">
        <f t="shared" si="19"/>
        <v>7</v>
      </c>
      <c r="BF19" s="112"/>
      <c r="BG19" s="112"/>
      <c r="BH19" s="113"/>
      <c r="BI19" s="116"/>
    </row>
    <row r="20" spans="1:61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6"/>
        <v>0</v>
      </c>
      <c r="AH20" s="70"/>
      <c r="AI20" s="63">
        <f t="shared" si="18"/>
        <v>0</v>
      </c>
      <c r="AK20" s="77" t="s">
        <v>40</v>
      </c>
      <c r="AL20" s="79">
        <f>+AL5/AL4</f>
        <v>0.59752868490732569</v>
      </c>
      <c r="AM20" s="79">
        <f t="shared" ref="AM20:AW21" si="20">+AM5/AM4</f>
        <v>0.55713020372010624</v>
      </c>
      <c r="AN20" s="79">
        <f t="shared" si="20"/>
        <v>0.70325693606755124</v>
      </c>
      <c r="AO20" s="79">
        <f t="shared" si="20"/>
        <v>0.7463917525773196</v>
      </c>
      <c r="AP20" s="79">
        <f t="shared" si="20"/>
        <v>0.64127764127764131</v>
      </c>
      <c r="AQ20" s="79">
        <f t="shared" si="20"/>
        <v>0.59069767441860466</v>
      </c>
      <c r="AR20" s="79">
        <f t="shared" si="20"/>
        <v>0.64480874316939896</v>
      </c>
      <c r="AS20" s="79">
        <f>+AS5/AS4</f>
        <v>0.58888888888888891</v>
      </c>
      <c r="AT20" s="79">
        <f>+AT5/AT4</f>
        <v>0.5</v>
      </c>
      <c r="AU20" s="79">
        <f t="shared" si="20"/>
        <v>0.50228310502283102</v>
      </c>
      <c r="AV20" s="79">
        <f t="shared" si="20"/>
        <v>0.48369565217391303</v>
      </c>
      <c r="AW20" s="102">
        <f t="shared" si="20"/>
        <v>0.61597729115977295</v>
      </c>
      <c r="AY20" s="97">
        <v>500</v>
      </c>
      <c r="AZ20" s="98">
        <v>0.02</v>
      </c>
      <c r="BA20" s="63">
        <f t="shared" si="17"/>
        <v>10</v>
      </c>
      <c r="BB20" s="63">
        <v>1</v>
      </c>
      <c r="BC20" s="99">
        <f t="shared" si="19"/>
        <v>9</v>
      </c>
      <c r="BF20" s="112"/>
      <c r="BG20" s="112"/>
      <c r="BH20" s="113"/>
      <c r="BI20" s="116"/>
    </row>
    <row r="21" spans="1:61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6"/>
        <v>0</v>
      </c>
      <c r="AH21" s="71"/>
      <c r="AI21" s="63">
        <f t="shared" si="18"/>
        <v>0</v>
      </c>
      <c r="AK21" s="77" t="s">
        <v>41</v>
      </c>
      <c r="AL21" s="79">
        <f>+AL6/AL5</f>
        <v>0.95864106351550959</v>
      </c>
      <c r="AM21" s="79">
        <f t="shared" si="20"/>
        <v>0.96661367249602548</v>
      </c>
      <c r="AN21" s="79">
        <f t="shared" si="20"/>
        <v>0.94339622641509435</v>
      </c>
      <c r="AO21" s="79">
        <f t="shared" si="20"/>
        <v>0.93370165745856348</v>
      </c>
      <c r="AP21" s="79">
        <f t="shared" si="20"/>
        <v>0.93103448275862066</v>
      </c>
      <c r="AQ21" s="79">
        <f t="shared" si="20"/>
        <v>0.88188976377952755</v>
      </c>
      <c r="AR21" s="79">
        <f t="shared" si="20"/>
        <v>0.90677966101694918</v>
      </c>
      <c r="AS21" s="79">
        <f t="shared" si="20"/>
        <v>0.92452830188679247</v>
      </c>
      <c r="AT21" s="79">
        <f t="shared" si="20"/>
        <v>0.93103448275862066</v>
      </c>
      <c r="AU21" s="79">
        <f t="shared" si="20"/>
        <v>1</v>
      </c>
      <c r="AV21" s="79">
        <f t="shared" si="20"/>
        <v>1.0112359550561798</v>
      </c>
      <c r="AW21" s="102">
        <f t="shared" si="20"/>
        <v>0.94897959183673475</v>
      </c>
      <c r="AY21" s="97">
        <v>600</v>
      </c>
      <c r="AZ21" s="98">
        <v>0.02</v>
      </c>
      <c r="BA21" s="63">
        <f t="shared" si="17"/>
        <v>12</v>
      </c>
      <c r="BB21" s="63">
        <v>1</v>
      </c>
      <c r="BC21" s="99">
        <f t="shared" si="19"/>
        <v>11</v>
      </c>
      <c r="BF21" s="112"/>
      <c r="BG21" s="112"/>
      <c r="BH21" s="113"/>
      <c r="BI21" s="116"/>
    </row>
    <row r="22" spans="1:61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6"/>
        <v>0</v>
      </c>
      <c r="AH22" s="63"/>
      <c r="AI22" s="63">
        <f t="shared" si="18"/>
        <v>0</v>
      </c>
      <c r="AK22" s="77" t="s">
        <v>23</v>
      </c>
      <c r="AL22" s="79">
        <f>AL7/AL5</f>
        <v>1.4771048744460858E-3</v>
      </c>
      <c r="AM22" s="79">
        <f t="shared" ref="AM22:AW22" si="21">AM7/AM5</f>
        <v>3.1796502384737681E-3</v>
      </c>
      <c r="AN22" s="79">
        <f t="shared" si="21"/>
        <v>2.0583190394511151E-2</v>
      </c>
      <c r="AO22" s="79">
        <f t="shared" si="21"/>
        <v>2.2099447513812154E-2</v>
      </c>
      <c r="AP22" s="79">
        <f t="shared" si="21"/>
        <v>2.2988505747126436E-2</v>
      </c>
      <c r="AQ22" s="79">
        <f t="shared" si="21"/>
        <v>0</v>
      </c>
      <c r="AR22" s="79">
        <f t="shared" si="21"/>
        <v>0</v>
      </c>
      <c r="AS22" s="79">
        <f t="shared" si="21"/>
        <v>0</v>
      </c>
      <c r="AT22" s="79">
        <f t="shared" si="21"/>
        <v>3.4482758620689655E-2</v>
      </c>
      <c r="AU22" s="79">
        <f t="shared" si="21"/>
        <v>0</v>
      </c>
      <c r="AV22" s="79">
        <f t="shared" si="21"/>
        <v>1.1235955056179775E-2</v>
      </c>
      <c r="AW22" s="102">
        <f t="shared" si="21"/>
        <v>1.020408163265306E-2</v>
      </c>
      <c r="AY22" s="97">
        <v>700</v>
      </c>
      <c r="AZ22" s="98">
        <v>0.02</v>
      </c>
      <c r="BA22" s="63">
        <f t="shared" si="17"/>
        <v>14</v>
      </c>
      <c r="BB22" s="63">
        <v>1</v>
      </c>
      <c r="BC22" s="99">
        <f t="shared" si="19"/>
        <v>13</v>
      </c>
      <c r="BF22" s="112"/>
      <c r="BG22" s="112"/>
      <c r="BH22" s="113"/>
      <c r="BI22" s="116"/>
    </row>
    <row r="23" spans="1:61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>
        <f>AL8/AL5</f>
        <v>1.4771048744460858E-3</v>
      </c>
      <c r="AM23" s="79">
        <f t="shared" ref="AM23:AW23" si="22">AM8/AM5</f>
        <v>3.1796502384737681E-3</v>
      </c>
      <c r="AN23" s="79">
        <f t="shared" si="22"/>
        <v>5.1457975986277877E-3</v>
      </c>
      <c r="AO23" s="79">
        <f t="shared" si="22"/>
        <v>3.591160220994475E-2</v>
      </c>
      <c r="AP23" s="79">
        <f t="shared" si="22"/>
        <v>7.6628352490421452E-3</v>
      </c>
      <c r="AQ23" s="79">
        <f t="shared" si="22"/>
        <v>0</v>
      </c>
      <c r="AR23" s="79">
        <f t="shared" si="22"/>
        <v>0</v>
      </c>
      <c r="AS23" s="79">
        <f t="shared" si="22"/>
        <v>0</v>
      </c>
      <c r="AT23" s="79">
        <f t="shared" si="22"/>
        <v>0</v>
      </c>
      <c r="AU23" s="79">
        <f t="shared" si="22"/>
        <v>0</v>
      </c>
      <c r="AV23" s="79">
        <f t="shared" si="22"/>
        <v>0</v>
      </c>
      <c r="AW23" s="102">
        <f t="shared" si="22"/>
        <v>6.9124423963133645E-3</v>
      </c>
      <c r="AY23" s="97">
        <v>800</v>
      </c>
      <c r="AZ23" s="98">
        <v>0.02</v>
      </c>
      <c r="BA23" s="63">
        <f t="shared" si="17"/>
        <v>16</v>
      </c>
      <c r="BB23" s="63">
        <v>1</v>
      </c>
      <c r="BC23" s="99">
        <f t="shared" si="19"/>
        <v>15</v>
      </c>
      <c r="BF23" s="112"/>
      <c r="BG23" s="112"/>
      <c r="BH23" s="113"/>
      <c r="BI23" s="112"/>
    </row>
    <row r="24" spans="1:61" ht="23.25">
      <c r="A24" s="53"/>
      <c r="B24" s="54">
        <v>46204</v>
      </c>
      <c r="C24" s="54">
        <v>46205</v>
      </c>
      <c r="D24" s="54">
        <v>46206</v>
      </c>
      <c r="E24" s="54">
        <v>46207</v>
      </c>
      <c r="F24" s="54">
        <v>46208</v>
      </c>
      <c r="G24" s="54">
        <v>46209</v>
      </c>
      <c r="H24" s="54">
        <v>46210</v>
      </c>
      <c r="I24" s="54">
        <v>46211</v>
      </c>
      <c r="J24" s="54">
        <v>46212</v>
      </c>
      <c r="K24" s="54">
        <v>46213</v>
      </c>
      <c r="L24" s="54">
        <v>46214</v>
      </c>
      <c r="M24" s="54">
        <v>46215</v>
      </c>
      <c r="N24" s="54">
        <v>46216</v>
      </c>
      <c r="O24" s="54">
        <v>46217</v>
      </c>
      <c r="P24" s="54">
        <v>46218</v>
      </c>
      <c r="Q24" s="54">
        <v>46219</v>
      </c>
      <c r="R24" s="54">
        <v>46220</v>
      </c>
      <c r="S24" s="54">
        <v>46221</v>
      </c>
      <c r="T24" s="54">
        <v>46222</v>
      </c>
      <c r="U24" s="54">
        <v>46223</v>
      </c>
      <c r="V24" s="54">
        <v>46224</v>
      </c>
      <c r="W24" s="54">
        <v>46225</v>
      </c>
      <c r="X24" s="54">
        <v>46226</v>
      </c>
      <c r="Y24" s="54">
        <v>46227</v>
      </c>
      <c r="Z24" s="54">
        <v>46228</v>
      </c>
      <c r="AA24" s="54">
        <v>46229</v>
      </c>
      <c r="AB24" s="54">
        <v>46230</v>
      </c>
      <c r="AC24" s="54">
        <v>46231</v>
      </c>
      <c r="AD24" s="54">
        <v>46232</v>
      </c>
      <c r="AE24" s="54">
        <v>46233</v>
      </c>
      <c r="AF24" s="54">
        <v>46234</v>
      </c>
      <c r="AG24" s="61" t="s">
        <v>2</v>
      </c>
      <c r="AH24" s="61" t="s">
        <v>3</v>
      </c>
      <c r="AI24" s="62" t="s">
        <v>43</v>
      </c>
      <c r="AK24" s="77" t="s">
        <v>26</v>
      </c>
      <c r="AL24" s="79">
        <f>AL9/AL5</f>
        <v>3.8404726735598228E-2</v>
      </c>
      <c r="AM24" s="79">
        <f t="shared" ref="AM24:AW25" si="23">AM9/AM5</f>
        <v>2.7027027027027029E-2</v>
      </c>
      <c r="AN24" s="79">
        <f t="shared" si="23"/>
        <v>3.0874785591766724E-2</v>
      </c>
      <c r="AO24" s="79">
        <f t="shared" si="23"/>
        <v>8.2872928176795577E-3</v>
      </c>
      <c r="AP24" s="79">
        <f t="shared" si="23"/>
        <v>3.8314176245210725E-2</v>
      </c>
      <c r="AQ24" s="79">
        <f t="shared" si="23"/>
        <v>0.11811023622047244</v>
      </c>
      <c r="AR24" s="79">
        <f t="shared" si="23"/>
        <v>9.3220338983050849E-2</v>
      </c>
      <c r="AS24" s="79">
        <f t="shared" si="23"/>
        <v>7.5471698113207544E-2</v>
      </c>
      <c r="AT24" s="79">
        <f t="shared" si="23"/>
        <v>3.4482758620689655E-2</v>
      </c>
      <c r="AU24" s="79">
        <f t="shared" si="23"/>
        <v>0</v>
      </c>
      <c r="AV24" s="79">
        <f t="shared" si="23"/>
        <v>0</v>
      </c>
      <c r="AW24" s="102">
        <f t="shared" si="23"/>
        <v>3.4562211981566823E-2</v>
      </c>
      <c r="AY24" s="97">
        <v>900</v>
      </c>
      <c r="AZ24" s="98">
        <v>0.02</v>
      </c>
      <c r="BA24" s="63">
        <f t="shared" si="17"/>
        <v>18</v>
      </c>
      <c r="BB24" s="63">
        <v>1</v>
      </c>
      <c r="BC24" s="99">
        <f t="shared" si="19"/>
        <v>17</v>
      </c>
      <c r="BF24" s="117"/>
      <c r="BG24" s="117"/>
      <c r="BH24" s="118"/>
      <c r="BI24" s="112"/>
    </row>
    <row r="25" spans="1:61" ht="24" thickBot="1">
      <c r="A25" s="55" t="s">
        <v>5</v>
      </c>
      <c r="B25" s="56">
        <v>22</v>
      </c>
      <c r="C25" s="56">
        <v>32</v>
      </c>
      <c r="D25" s="56">
        <v>24</v>
      </c>
      <c r="E25" s="56">
        <v>41</v>
      </c>
      <c r="F25" s="56">
        <v>24</v>
      </c>
      <c r="G25" s="56">
        <v>20</v>
      </c>
      <c r="H25" s="56">
        <v>17</v>
      </c>
      <c r="I25" s="56">
        <v>20</v>
      </c>
      <c r="J25" s="56">
        <v>23</v>
      </c>
      <c r="K25" s="56">
        <v>28</v>
      </c>
      <c r="L25" s="56">
        <v>51</v>
      </c>
      <c r="M25" s="56">
        <v>32</v>
      </c>
      <c r="N25" s="56">
        <v>24</v>
      </c>
      <c r="O25" s="56">
        <v>29</v>
      </c>
      <c r="P25" s="56">
        <v>23</v>
      </c>
      <c r="Q25" s="56">
        <v>22</v>
      </c>
      <c r="R25" s="56">
        <v>39</v>
      </c>
      <c r="S25" s="56">
        <v>45</v>
      </c>
      <c r="T25" s="56">
        <v>37</v>
      </c>
      <c r="U25" s="56">
        <v>27</v>
      </c>
      <c r="V25" s="56">
        <v>27</v>
      </c>
      <c r="W25" s="56">
        <v>31</v>
      </c>
      <c r="X25" s="56">
        <v>59</v>
      </c>
      <c r="Y25" s="56">
        <v>36</v>
      </c>
      <c r="Z25" s="56">
        <v>54</v>
      </c>
      <c r="AA25" s="56">
        <v>42</v>
      </c>
      <c r="AB25" s="56"/>
      <c r="AC25" s="56"/>
      <c r="AD25" s="56"/>
      <c r="AE25" s="56"/>
      <c r="AF25" s="56"/>
      <c r="AG25" s="63">
        <f>SUM(B25:AF25)</f>
        <v>829</v>
      </c>
      <c r="AH25" s="63"/>
      <c r="AI25" s="63">
        <f>AG25</f>
        <v>829</v>
      </c>
      <c r="AK25" s="77" t="s">
        <v>28</v>
      </c>
      <c r="AL25" s="79">
        <f t="shared" ref="AL25:AW28" si="24">AL10/AL6</f>
        <v>0</v>
      </c>
      <c r="AM25" s="79">
        <f t="shared" si="24"/>
        <v>0</v>
      </c>
      <c r="AN25" s="79">
        <f t="shared" si="24"/>
        <v>0</v>
      </c>
      <c r="AO25" s="79">
        <f t="shared" si="24"/>
        <v>0</v>
      </c>
      <c r="AP25" s="79">
        <f t="shared" si="24"/>
        <v>0</v>
      </c>
      <c r="AQ25" s="79">
        <f t="shared" si="24"/>
        <v>0</v>
      </c>
      <c r="AR25" s="79">
        <f t="shared" si="24"/>
        <v>0</v>
      </c>
      <c r="AS25" s="79">
        <f t="shared" si="24"/>
        <v>0</v>
      </c>
      <c r="AT25" s="79">
        <f t="shared" si="23"/>
        <v>0</v>
      </c>
      <c r="AU25" s="79">
        <f t="shared" si="24"/>
        <v>0</v>
      </c>
      <c r="AV25" s="79">
        <f t="shared" si="24"/>
        <v>0</v>
      </c>
      <c r="AW25" s="102">
        <f t="shared" si="24"/>
        <v>0</v>
      </c>
      <c r="AY25" s="103">
        <v>1000</v>
      </c>
      <c r="AZ25" s="104">
        <v>0.02</v>
      </c>
      <c r="BA25" s="105">
        <f t="shared" si="17"/>
        <v>20</v>
      </c>
      <c r="BB25" s="105">
        <v>1</v>
      </c>
      <c r="BC25" s="106">
        <f t="shared" si="19"/>
        <v>19</v>
      </c>
      <c r="BF25" s="117"/>
      <c r="BG25" s="117"/>
      <c r="BH25" s="118"/>
      <c r="BI25" s="114"/>
    </row>
    <row r="26" spans="1:61" ht="24" thickBot="1">
      <c r="A26" s="55" t="s">
        <v>21</v>
      </c>
      <c r="B26" s="56">
        <v>13</v>
      </c>
      <c r="C26" s="56">
        <v>21</v>
      </c>
      <c r="D26" s="56">
        <v>16</v>
      </c>
      <c r="E26" s="56">
        <v>37</v>
      </c>
      <c r="F26" s="56">
        <v>14</v>
      </c>
      <c r="G26" s="56">
        <v>12</v>
      </c>
      <c r="H26" s="56">
        <v>12</v>
      </c>
      <c r="I26" s="56">
        <v>14</v>
      </c>
      <c r="J26" s="56">
        <v>12</v>
      </c>
      <c r="K26" s="56">
        <v>17</v>
      </c>
      <c r="L26" s="56">
        <v>32</v>
      </c>
      <c r="M26" s="56">
        <v>16</v>
      </c>
      <c r="N26" s="56">
        <v>19</v>
      </c>
      <c r="O26" s="56">
        <v>24</v>
      </c>
      <c r="P26" s="56">
        <v>16</v>
      </c>
      <c r="Q26" s="56">
        <v>16</v>
      </c>
      <c r="R26" s="56">
        <v>29</v>
      </c>
      <c r="S26" s="56">
        <v>33</v>
      </c>
      <c r="T26" s="56">
        <v>31</v>
      </c>
      <c r="U26" s="56">
        <v>19</v>
      </c>
      <c r="V26" s="56">
        <v>16</v>
      </c>
      <c r="W26" s="56">
        <v>22</v>
      </c>
      <c r="X26" s="56">
        <v>42</v>
      </c>
      <c r="Y26" s="56">
        <v>32</v>
      </c>
      <c r="Z26" s="56">
        <v>41</v>
      </c>
      <c r="AA26" s="56">
        <v>27</v>
      </c>
      <c r="AB26" s="56"/>
      <c r="AC26" s="56"/>
      <c r="AD26" s="56"/>
      <c r="AE26" s="56"/>
      <c r="AF26" s="56"/>
      <c r="AG26" s="63">
        <f t="shared" ref="AG26:AG33" si="25">SUM(B26:AF26)</f>
        <v>583</v>
      </c>
      <c r="AH26" s="63"/>
      <c r="AI26" s="63">
        <f>AG26+AH28+AH29+AH30</f>
        <v>583</v>
      </c>
      <c r="AK26" s="77" t="s">
        <v>29</v>
      </c>
      <c r="AL26" s="79">
        <f t="shared" si="24"/>
        <v>0</v>
      </c>
      <c r="AM26" s="79">
        <f t="shared" si="24"/>
        <v>0</v>
      </c>
      <c r="AN26" s="79">
        <f t="shared" si="24"/>
        <v>0</v>
      </c>
      <c r="AO26" s="79">
        <f t="shared" si="24"/>
        <v>0</v>
      </c>
      <c r="AP26" s="79">
        <f t="shared" si="24"/>
        <v>0</v>
      </c>
      <c r="AQ26" s="79" t="e">
        <f t="shared" si="24"/>
        <v>#DIV/0!</v>
      </c>
      <c r="AR26" s="79" t="e">
        <f t="shared" si="24"/>
        <v>#DIV/0!</v>
      </c>
      <c r="AS26" s="79" t="e">
        <f t="shared" si="24"/>
        <v>#DIV/0!</v>
      </c>
      <c r="AT26" s="79">
        <f t="shared" si="24"/>
        <v>0</v>
      </c>
      <c r="AU26" s="79" t="e">
        <f t="shared" si="24"/>
        <v>#DIV/0!</v>
      </c>
      <c r="AV26" s="79">
        <f t="shared" si="24"/>
        <v>0</v>
      </c>
      <c r="AW26" s="102">
        <f t="shared" si="24"/>
        <v>0</v>
      </c>
      <c r="AY26" s="63"/>
      <c r="AZ26" s="63"/>
      <c r="BA26" s="63"/>
      <c r="BB26" s="63"/>
      <c r="BC26" s="63"/>
      <c r="BF26" s="117"/>
      <c r="BG26" s="117"/>
      <c r="BH26" s="118"/>
      <c r="BI26" s="119"/>
    </row>
    <row r="27" spans="1:61" ht="24" thickBot="1">
      <c r="A27" s="55" t="s">
        <v>22</v>
      </c>
      <c r="B27" s="125">
        <v>12</v>
      </c>
      <c r="C27" s="125">
        <v>21</v>
      </c>
      <c r="D27" s="125">
        <v>15</v>
      </c>
      <c r="E27" s="125">
        <v>35</v>
      </c>
      <c r="F27" s="125">
        <v>14</v>
      </c>
      <c r="G27" s="125">
        <v>12</v>
      </c>
      <c r="H27" s="125">
        <v>10</v>
      </c>
      <c r="I27" s="125">
        <v>14</v>
      </c>
      <c r="J27" s="125">
        <v>9</v>
      </c>
      <c r="K27" s="125">
        <v>16</v>
      </c>
      <c r="L27" s="125">
        <v>31</v>
      </c>
      <c r="M27" s="125">
        <v>16</v>
      </c>
      <c r="N27" s="125">
        <v>19</v>
      </c>
      <c r="O27" s="125">
        <v>22</v>
      </c>
      <c r="P27" s="125">
        <v>13</v>
      </c>
      <c r="Q27" s="125">
        <v>15</v>
      </c>
      <c r="R27" s="125">
        <v>28</v>
      </c>
      <c r="S27" s="125">
        <v>32</v>
      </c>
      <c r="T27" s="125">
        <v>31</v>
      </c>
      <c r="U27" s="125">
        <v>19</v>
      </c>
      <c r="V27" s="125">
        <v>15</v>
      </c>
      <c r="W27" s="125">
        <v>19</v>
      </c>
      <c r="X27" s="125">
        <v>39</v>
      </c>
      <c r="Y27" s="125">
        <v>29</v>
      </c>
      <c r="Z27" s="125">
        <v>39</v>
      </c>
      <c r="AA27" s="125">
        <v>25</v>
      </c>
      <c r="AB27" s="125"/>
      <c r="AC27" s="125"/>
      <c r="AD27" s="125"/>
      <c r="AE27" s="125"/>
      <c r="AF27" s="56"/>
      <c r="AG27" s="63">
        <f t="shared" si="25"/>
        <v>550</v>
      </c>
      <c r="AH27" s="63"/>
      <c r="AI27" s="63">
        <f>AG27+AH28+AH29+AH30</f>
        <v>550</v>
      </c>
      <c r="AK27" s="77" t="s">
        <v>31</v>
      </c>
      <c r="AL27" s="79">
        <f t="shared" si="24"/>
        <v>0</v>
      </c>
      <c r="AM27" s="79">
        <f t="shared" si="24"/>
        <v>0</v>
      </c>
      <c r="AN27" s="79">
        <f t="shared" si="24"/>
        <v>0</v>
      </c>
      <c r="AO27" s="79">
        <f t="shared" si="24"/>
        <v>0</v>
      </c>
      <c r="AP27" s="79">
        <f t="shared" si="24"/>
        <v>0</v>
      </c>
      <c r="AQ27" s="79" t="e">
        <f t="shared" si="24"/>
        <v>#DIV/0!</v>
      </c>
      <c r="AR27" s="79" t="e">
        <f t="shared" si="24"/>
        <v>#DIV/0!</v>
      </c>
      <c r="AS27" s="79" t="e">
        <f t="shared" si="24"/>
        <v>#DIV/0!</v>
      </c>
      <c r="AT27" s="79" t="e">
        <f t="shared" si="24"/>
        <v>#DIV/0!</v>
      </c>
      <c r="AU27" s="79" t="e">
        <f t="shared" si="24"/>
        <v>#DIV/0!</v>
      </c>
      <c r="AV27" s="79" t="e">
        <f>AV12/AV8</f>
        <v>#DIV/0!</v>
      </c>
      <c r="AW27" s="102">
        <f>AW12/AW8</f>
        <v>0</v>
      </c>
      <c r="AY27" s="108" t="s">
        <v>44</v>
      </c>
      <c r="AZ27" s="271" t="s">
        <v>45</v>
      </c>
      <c r="BA27" s="272"/>
      <c r="BB27" s="63"/>
      <c r="BC27" s="63"/>
      <c r="BF27" s="117"/>
      <c r="BG27" s="117"/>
      <c r="BH27" s="118"/>
      <c r="BI27" s="114"/>
    </row>
    <row r="28" spans="1:61" ht="23.25">
      <c r="A28" s="55" t="s">
        <v>23</v>
      </c>
      <c r="B28" s="125">
        <v>0</v>
      </c>
      <c r="C28" s="125">
        <v>0</v>
      </c>
      <c r="D28" s="125">
        <v>0</v>
      </c>
      <c r="E28" s="125">
        <v>0</v>
      </c>
      <c r="F28" s="125">
        <v>0</v>
      </c>
      <c r="G28" s="125">
        <v>0</v>
      </c>
      <c r="H28" s="125">
        <v>0</v>
      </c>
      <c r="I28" s="125">
        <v>0</v>
      </c>
      <c r="J28" s="125">
        <v>1</v>
      </c>
      <c r="K28" s="125">
        <v>0</v>
      </c>
      <c r="L28" s="125">
        <v>0</v>
      </c>
      <c r="M28" s="125">
        <v>0</v>
      </c>
      <c r="N28" s="125">
        <v>0</v>
      </c>
      <c r="O28" s="125">
        <v>2</v>
      </c>
      <c r="P28" s="125">
        <v>3</v>
      </c>
      <c r="Q28" s="125">
        <v>1</v>
      </c>
      <c r="R28" s="125">
        <v>0</v>
      </c>
      <c r="S28" s="125">
        <v>0</v>
      </c>
      <c r="T28" s="125">
        <v>0</v>
      </c>
      <c r="U28" s="125">
        <v>0</v>
      </c>
      <c r="V28" s="125">
        <v>0</v>
      </c>
      <c r="W28" s="125">
        <v>2</v>
      </c>
      <c r="X28" s="125">
        <v>0</v>
      </c>
      <c r="Y28" s="125">
        <v>2</v>
      </c>
      <c r="Z28" s="125">
        <v>0</v>
      </c>
      <c r="AA28" s="125">
        <v>1</v>
      </c>
      <c r="AB28" s="125"/>
      <c r="AC28" s="125"/>
      <c r="AD28" s="125"/>
      <c r="AE28" s="125"/>
      <c r="AF28" s="56"/>
      <c r="AG28" s="63">
        <f t="shared" si="25"/>
        <v>12</v>
      </c>
      <c r="AH28" s="63"/>
      <c r="AI28" s="63">
        <f t="shared" ref="AI28:AI33" si="26">AG28-AH28</f>
        <v>12</v>
      </c>
      <c r="AK28" s="80" t="s">
        <v>34</v>
      </c>
      <c r="AL28" s="81">
        <f>AL13/AL9</f>
        <v>1.0384615384615385</v>
      </c>
      <c r="AM28" s="81">
        <f t="shared" si="24"/>
        <v>1.1176470588235294</v>
      </c>
      <c r="AN28" s="81">
        <f t="shared" si="24"/>
        <v>1.6666666666666667</v>
      </c>
      <c r="AO28" s="81">
        <f t="shared" si="24"/>
        <v>3.6666666666666665</v>
      </c>
      <c r="AP28" s="81">
        <f t="shared" si="24"/>
        <v>1.6</v>
      </c>
      <c r="AQ28" s="81">
        <f t="shared" si="24"/>
        <v>1</v>
      </c>
      <c r="AR28" s="81">
        <f t="shared" si="24"/>
        <v>1</v>
      </c>
      <c r="AS28" s="81">
        <f t="shared" si="24"/>
        <v>1</v>
      </c>
      <c r="AT28" s="81">
        <f t="shared" si="24"/>
        <v>2</v>
      </c>
      <c r="AU28" s="81" t="e">
        <f t="shared" si="24"/>
        <v>#DIV/0!</v>
      </c>
      <c r="AV28" s="81" t="e">
        <f t="shared" si="24"/>
        <v>#DIV/0!</v>
      </c>
      <c r="AW28" s="107">
        <f t="shared" si="24"/>
        <v>1.2952380952380953</v>
      </c>
      <c r="AY28" s="97" t="s">
        <v>46</v>
      </c>
      <c r="AZ28" s="273">
        <v>100</v>
      </c>
      <c r="BA28" s="274"/>
      <c r="BB28" s="109"/>
      <c r="BC28" s="109"/>
      <c r="BF28" s="112"/>
      <c r="BG28" s="112"/>
      <c r="BH28" s="113"/>
      <c r="BI28" s="112"/>
    </row>
    <row r="29" spans="1:61" ht="21.75" thickBot="1">
      <c r="A29" s="55" t="s">
        <v>24</v>
      </c>
      <c r="B29" s="125">
        <v>0</v>
      </c>
      <c r="C29" s="125">
        <v>0</v>
      </c>
      <c r="D29" s="125">
        <v>0</v>
      </c>
      <c r="E29" s="125">
        <v>0</v>
      </c>
      <c r="F29" s="125">
        <v>0</v>
      </c>
      <c r="G29" s="125">
        <v>0</v>
      </c>
      <c r="H29" s="125">
        <v>0</v>
      </c>
      <c r="I29" s="125">
        <v>0</v>
      </c>
      <c r="J29" s="125">
        <v>0</v>
      </c>
      <c r="K29" s="125">
        <v>0</v>
      </c>
      <c r="L29" s="125">
        <v>1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1</v>
      </c>
      <c r="S29" s="125">
        <v>0</v>
      </c>
      <c r="T29" s="125">
        <v>0</v>
      </c>
      <c r="U29" s="125">
        <v>0</v>
      </c>
      <c r="V29" s="125">
        <v>0</v>
      </c>
      <c r="W29" s="125">
        <v>1</v>
      </c>
      <c r="X29" s="125">
        <v>0</v>
      </c>
      <c r="Y29" s="125">
        <v>0</v>
      </c>
      <c r="Z29" s="125">
        <v>0</v>
      </c>
      <c r="AA29" s="125">
        <v>0</v>
      </c>
      <c r="AB29" s="125"/>
      <c r="AC29" s="125"/>
      <c r="AD29" s="125"/>
      <c r="AE29" s="125"/>
      <c r="AF29" s="56"/>
      <c r="AG29" s="63">
        <f t="shared" si="25"/>
        <v>3</v>
      </c>
      <c r="AH29" s="63"/>
      <c r="AI29" s="63">
        <f t="shared" si="26"/>
        <v>3</v>
      </c>
      <c r="AR29" s="82"/>
      <c r="AS29" s="83"/>
      <c r="AT29" s="83"/>
      <c r="AU29" s="82"/>
      <c r="AV29" s="82"/>
      <c r="AY29" s="103" t="s">
        <v>47</v>
      </c>
      <c r="AZ29" s="275">
        <v>50</v>
      </c>
      <c r="BA29" s="276"/>
      <c r="BB29" s="63"/>
      <c r="BC29" s="63"/>
      <c r="BF29" s="112"/>
      <c r="BG29" s="112"/>
      <c r="BH29" s="113"/>
      <c r="BI29" s="114"/>
    </row>
    <row r="30" spans="1:61" ht="21">
      <c r="A30" s="55" t="s">
        <v>26</v>
      </c>
      <c r="B30" s="125">
        <v>1</v>
      </c>
      <c r="C30" s="125">
        <v>0</v>
      </c>
      <c r="D30" s="125">
        <v>1</v>
      </c>
      <c r="E30" s="125">
        <v>2</v>
      </c>
      <c r="F30" s="125">
        <v>0</v>
      </c>
      <c r="G30" s="125">
        <v>0</v>
      </c>
      <c r="H30" s="125">
        <v>2</v>
      </c>
      <c r="I30" s="125">
        <v>0</v>
      </c>
      <c r="J30" s="125">
        <v>2</v>
      </c>
      <c r="K30" s="125">
        <v>0</v>
      </c>
      <c r="L30" s="125">
        <v>0</v>
      </c>
      <c r="M30" s="125">
        <v>0</v>
      </c>
      <c r="N30" s="125">
        <v>0</v>
      </c>
      <c r="O30" s="125">
        <v>0</v>
      </c>
      <c r="P30" s="125">
        <v>0</v>
      </c>
      <c r="Q30" s="125">
        <v>0</v>
      </c>
      <c r="R30" s="125">
        <v>0</v>
      </c>
      <c r="S30" s="125">
        <v>1</v>
      </c>
      <c r="T30" s="125">
        <v>0</v>
      </c>
      <c r="U30" s="125">
        <v>0</v>
      </c>
      <c r="V30" s="125">
        <v>1</v>
      </c>
      <c r="W30" s="125">
        <v>0</v>
      </c>
      <c r="X30" s="125">
        <v>3</v>
      </c>
      <c r="Y30" s="125">
        <v>2</v>
      </c>
      <c r="Z30" s="125">
        <v>2</v>
      </c>
      <c r="AA30" s="125">
        <v>1</v>
      </c>
      <c r="AB30" s="125"/>
      <c r="AC30" s="125"/>
      <c r="AD30" s="125"/>
      <c r="AE30" s="125"/>
      <c r="AF30" s="56"/>
      <c r="AG30" s="63">
        <f t="shared" si="25"/>
        <v>18</v>
      </c>
      <c r="AH30" s="63"/>
      <c r="AI30" s="63">
        <f t="shared" si="26"/>
        <v>18</v>
      </c>
      <c r="AN30" s="82"/>
      <c r="BF30" s="112"/>
      <c r="BG30" s="112"/>
      <c r="BH30" s="113"/>
      <c r="BI30" s="114"/>
    </row>
    <row r="31" spans="1:61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5"/>
        <v>0</v>
      </c>
      <c r="AH31" s="70"/>
      <c r="AI31" s="63">
        <f t="shared" si="26"/>
        <v>0</v>
      </c>
      <c r="AO31" s="82"/>
      <c r="BF31" s="112"/>
      <c r="BG31" s="112"/>
      <c r="BH31" s="113"/>
      <c r="BI31" s="114"/>
    </row>
    <row r="32" spans="1:61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5"/>
        <v>0</v>
      </c>
      <c r="AH32" s="71"/>
      <c r="AI32" s="63">
        <f t="shared" si="26"/>
        <v>0</v>
      </c>
      <c r="AN32" s="82"/>
      <c r="BF32" s="112"/>
      <c r="BG32" s="112"/>
      <c r="BH32" s="113"/>
      <c r="BI32" s="112"/>
    </row>
    <row r="33" spans="1:61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5"/>
        <v>0</v>
      </c>
      <c r="AH33" s="63"/>
      <c r="AI33" s="63">
        <f t="shared" si="26"/>
        <v>0</v>
      </c>
      <c r="AM33" s="82"/>
      <c r="BF33" s="112"/>
      <c r="BG33" s="112"/>
      <c r="BH33" s="113"/>
      <c r="BI33" s="114"/>
    </row>
    <row r="34" spans="1:61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F34" s="112"/>
      <c r="BG34" s="112"/>
      <c r="BH34" s="113"/>
      <c r="BI34" s="114"/>
    </row>
    <row r="35" spans="1:61" ht="21">
      <c r="A35" s="53"/>
      <c r="B35" s="54">
        <v>46204</v>
      </c>
      <c r="C35" s="54">
        <v>46205</v>
      </c>
      <c r="D35" s="54">
        <v>46206</v>
      </c>
      <c r="E35" s="54">
        <v>46207</v>
      </c>
      <c r="F35" s="54">
        <v>46208</v>
      </c>
      <c r="G35" s="54">
        <v>46209</v>
      </c>
      <c r="H35" s="54">
        <v>46210</v>
      </c>
      <c r="I35" s="54">
        <v>46211</v>
      </c>
      <c r="J35" s="54">
        <v>46212</v>
      </c>
      <c r="K35" s="54">
        <v>46213</v>
      </c>
      <c r="L35" s="54">
        <v>46214</v>
      </c>
      <c r="M35" s="54">
        <v>46215</v>
      </c>
      <c r="N35" s="54">
        <v>46216</v>
      </c>
      <c r="O35" s="54">
        <v>46217</v>
      </c>
      <c r="P35" s="54">
        <v>46218</v>
      </c>
      <c r="Q35" s="54">
        <v>46219</v>
      </c>
      <c r="R35" s="54">
        <v>46220</v>
      </c>
      <c r="S35" s="54">
        <v>46221</v>
      </c>
      <c r="T35" s="54">
        <v>46222</v>
      </c>
      <c r="U35" s="54">
        <v>46223</v>
      </c>
      <c r="V35" s="54">
        <v>46224</v>
      </c>
      <c r="W35" s="54">
        <v>46225</v>
      </c>
      <c r="X35" s="54">
        <v>46226</v>
      </c>
      <c r="Y35" s="54">
        <v>46227</v>
      </c>
      <c r="Z35" s="54">
        <v>46228</v>
      </c>
      <c r="AA35" s="54">
        <v>46229</v>
      </c>
      <c r="AB35" s="54">
        <v>46230</v>
      </c>
      <c r="AC35" s="54">
        <v>46231</v>
      </c>
      <c r="AD35" s="54">
        <v>46232</v>
      </c>
      <c r="AE35" s="54">
        <v>46233</v>
      </c>
      <c r="AF35" s="54">
        <v>46234</v>
      </c>
      <c r="AG35" s="61" t="s">
        <v>2</v>
      </c>
      <c r="AH35" s="61" t="s">
        <v>49</v>
      </c>
      <c r="AI35" s="62" t="s">
        <v>50</v>
      </c>
      <c r="AM35" s="82"/>
      <c r="BF35" s="112"/>
      <c r="BG35" s="112"/>
      <c r="BH35" s="113"/>
      <c r="BI35" s="116"/>
    </row>
    <row r="36" spans="1:61" ht="21">
      <c r="A36" s="55" t="s">
        <v>5</v>
      </c>
      <c r="B36" s="56">
        <v>15</v>
      </c>
      <c r="C36" s="56">
        <v>25</v>
      </c>
      <c r="D36" s="56">
        <v>19</v>
      </c>
      <c r="E36" s="56">
        <v>25</v>
      </c>
      <c r="F36" s="56">
        <v>12</v>
      </c>
      <c r="G36" s="56">
        <v>12</v>
      </c>
      <c r="H36" s="56">
        <v>14</v>
      </c>
      <c r="I36" s="56">
        <v>14</v>
      </c>
      <c r="J36" s="56">
        <v>11</v>
      </c>
      <c r="K36" s="56">
        <v>27</v>
      </c>
      <c r="L36" s="56">
        <v>32</v>
      </c>
      <c r="M36" s="56">
        <v>19</v>
      </c>
      <c r="N36" s="56">
        <v>10</v>
      </c>
      <c r="O36" s="56">
        <v>17</v>
      </c>
      <c r="P36" s="56">
        <v>18</v>
      </c>
      <c r="Q36" s="56">
        <v>15</v>
      </c>
      <c r="R36" s="56">
        <v>14</v>
      </c>
      <c r="S36" s="56">
        <v>36</v>
      </c>
      <c r="T36" s="56">
        <v>9</v>
      </c>
      <c r="U36" s="56">
        <v>19</v>
      </c>
      <c r="V36" s="56">
        <v>17</v>
      </c>
      <c r="W36" s="56">
        <v>16</v>
      </c>
      <c r="X36" s="56">
        <v>29</v>
      </c>
      <c r="Y36" s="56">
        <v>20</v>
      </c>
      <c r="Z36" s="56">
        <v>19</v>
      </c>
      <c r="AA36" s="56">
        <v>21</v>
      </c>
      <c r="AB36" s="56"/>
      <c r="AC36" s="56"/>
      <c r="AD36" s="56"/>
      <c r="AE36" s="56"/>
      <c r="AF36" s="56"/>
      <c r="AG36" s="63">
        <f>SUM(B36:AF36)</f>
        <v>485</v>
      </c>
      <c r="AH36" s="63"/>
      <c r="AI36" s="63">
        <f>AG36</f>
        <v>485</v>
      </c>
      <c r="AN36" s="82"/>
      <c r="BF36" s="112"/>
      <c r="BG36" s="112"/>
      <c r="BH36" s="113"/>
      <c r="BI36" s="116"/>
    </row>
    <row r="37" spans="1:61" ht="21">
      <c r="A37" s="55" t="s">
        <v>21</v>
      </c>
      <c r="B37" s="56">
        <v>14</v>
      </c>
      <c r="C37" s="56">
        <v>17</v>
      </c>
      <c r="D37" s="56">
        <v>15</v>
      </c>
      <c r="E37" s="56">
        <v>19</v>
      </c>
      <c r="F37" s="56">
        <v>9</v>
      </c>
      <c r="G37" s="56">
        <v>8</v>
      </c>
      <c r="H37" s="56">
        <v>9</v>
      </c>
      <c r="I37" s="56">
        <v>11</v>
      </c>
      <c r="J37" s="56">
        <v>7</v>
      </c>
      <c r="K37" s="56">
        <v>20</v>
      </c>
      <c r="L37" s="56">
        <v>25</v>
      </c>
      <c r="M37" s="56">
        <v>14</v>
      </c>
      <c r="N37" s="56">
        <v>7</v>
      </c>
      <c r="O37" s="56">
        <v>11</v>
      </c>
      <c r="P37" s="56">
        <v>14</v>
      </c>
      <c r="Q37" s="56">
        <v>11</v>
      </c>
      <c r="R37" s="56">
        <v>9</v>
      </c>
      <c r="S37" s="56">
        <v>28</v>
      </c>
      <c r="T37" s="56">
        <v>6</v>
      </c>
      <c r="U37" s="56">
        <v>14</v>
      </c>
      <c r="V37" s="56">
        <v>13</v>
      </c>
      <c r="W37" s="56">
        <v>13</v>
      </c>
      <c r="X37" s="56">
        <v>23</v>
      </c>
      <c r="Y37" s="56">
        <v>17</v>
      </c>
      <c r="Z37" s="56">
        <v>11</v>
      </c>
      <c r="AA37" s="56">
        <v>17</v>
      </c>
      <c r="AB37" s="56"/>
      <c r="AC37" s="56"/>
      <c r="AD37" s="56"/>
      <c r="AE37" s="56"/>
      <c r="AF37" s="56"/>
      <c r="AG37" s="63">
        <f t="shared" ref="AG37:AG44" si="27">SUM(B37:AF37)</f>
        <v>362</v>
      </c>
      <c r="AH37" s="63"/>
      <c r="AI37" s="63">
        <f>AG37+AH39+AH40+AH41</f>
        <v>362</v>
      </c>
      <c r="AM37" s="82"/>
      <c r="AO37" s="82"/>
      <c r="BF37" s="112"/>
      <c r="BG37" s="112"/>
      <c r="BH37" s="113"/>
      <c r="BI37" s="116"/>
    </row>
    <row r="38" spans="1:61" ht="21">
      <c r="A38" s="55" t="s">
        <v>22</v>
      </c>
      <c r="B38" s="125">
        <v>12</v>
      </c>
      <c r="C38" s="125">
        <v>16</v>
      </c>
      <c r="D38" s="125">
        <v>13</v>
      </c>
      <c r="E38" s="125">
        <v>16</v>
      </c>
      <c r="F38" s="125">
        <v>8</v>
      </c>
      <c r="G38" s="125">
        <v>8</v>
      </c>
      <c r="H38" s="125">
        <v>6</v>
      </c>
      <c r="I38" s="125">
        <v>11</v>
      </c>
      <c r="J38" s="125">
        <v>7</v>
      </c>
      <c r="K38" s="125">
        <v>19</v>
      </c>
      <c r="L38" s="125">
        <v>23</v>
      </c>
      <c r="M38" s="125">
        <v>13</v>
      </c>
      <c r="N38" s="125">
        <v>7</v>
      </c>
      <c r="O38" s="125">
        <v>11</v>
      </c>
      <c r="P38" s="125">
        <v>14</v>
      </c>
      <c r="Q38" s="125">
        <v>11</v>
      </c>
      <c r="R38" s="125">
        <v>8</v>
      </c>
      <c r="S38" s="125">
        <v>27</v>
      </c>
      <c r="T38" s="125">
        <v>6</v>
      </c>
      <c r="U38" s="125">
        <v>13</v>
      </c>
      <c r="V38" s="125">
        <v>11</v>
      </c>
      <c r="W38" s="125">
        <v>13</v>
      </c>
      <c r="X38" s="125">
        <v>22</v>
      </c>
      <c r="Y38" s="125">
        <v>15</v>
      </c>
      <c r="Z38" s="125">
        <v>11</v>
      </c>
      <c r="AA38" s="125">
        <v>17</v>
      </c>
      <c r="AB38" s="125"/>
      <c r="AC38" s="125"/>
      <c r="AD38" s="125"/>
      <c r="AE38" s="125"/>
      <c r="AF38" s="56"/>
      <c r="AG38" s="63">
        <f t="shared" si="27"/>
        <v>338</v>
      </c>
      <c r="AH38" s="63"/>
      <c r="AI38" s="63">
        <f>AG38+AH39+AH40+AH41</f>
        <v>338</v>
      </c>
      <c r="AM38" s="82"/>
      <c r="BF38" s="112"/>
      <c r="BG38" s="112"/>
      <c r="BH38" s="116"/>
      <c r="BI38" s="114"/>
    </row>
    <row r="39" spans="1:61" ht="21">
      <c r="A39" s="55" t="s">
        <v>23</v>
      </c>
      <c r="B39" s="125">
        <v>1</v>
      </c>
      <c r="C39" s="125">
        <v>0</v>
      </c>
      <c r="D39" s="125">
        <v>1</v>
      </c>
      <c r="E39" s="125">
        <v>2</v>
      </c>
      <c r="F39" s="125">
        <v>0</v>
      </c>
      <c r="G39" s="125">
        <v>0</v>
      </c>
      <c r="H39" s="125">
        <v>0</v>
      </c>
      <c r="I39" s="125">
        <v>0</v>
      </c>
      <c r="J39" s="125">
        <v>0</v>
      </c>
      <c r="K39" s="125">
        <v>0</v>
      </c>
      <c r="L39" s="125">
        <v>0</v>
      </c>
      <c r="M39" s="125">
        <v>0</v>
      </c>
      <c r="N39" s="125">
        <v>0</v>
      </c>
      <c r="O39" s="125">
        <v>0</v>
      </c>
      <c r="P39" s="125">
        <v>0</v>
      </c>
      <c r="Q39" s="125">
        <v>0</v>
      </c>
      <c r="R39" s="125">
        <v>0</v>
      </c>
      <c r="S39" s="125">
        <v>1</v>
      </c>
      <c r="T39" s="125">
        <v>0</v>
      </c>
      <c r="U39" s="125">
        <v>1</v>
      </c>
      <c r="V39" s="125">
        <v>1</v>
      </c>
      <c r="W39" s="125">
        <v>0</v>
      </c>
      <c r="X39" s="125">
        <v>1</v>
      </c>
      <c r="Y39" s="125">
        <v>0</v>
      </c>
      <c r="Z39" s="125">
        <v>0</v>
      </c>
      <c r="AA39" s="125">
        <v>0</v>
      </c>
      <c r="AB39" s="125"/>
      <c r="AC39" s="125"/>
      <c r="AD39" s="125"/>
      <c r="AE39" s="125"/>
      <c r="AF39" s="56"/>
      <c r="AG39" s="63">
        <f t="shared" si="27"/>
        <v>8</v>
      </c>
      <c r="AH39" s="63"/>
      <c r="AI39" s="63">
        <f t="shared" ref="AI39:AI44" si="28">AG39-AH39</f>
        <v>8</v>
      </c>
      <c r="AM39" s="82"/>
    </row>
    <row r="40" spans="1:61" ht="21">
      <c r="A40" s="55" t="s">
        <v>24</v>
      </c>
      <c r="B40" s="125">
        <v>1</v>
      </c>
      <c r="C40" s="125">
        <v>1</v>
      </c>
      <c r="D40" s="125">
        <v>1</v>
      </c>
      <c r="E40" s="125">
        <v>1</v>
      </c>
      <c r="F40" s="125">
        <v>1</v>
      </c>
      <c r="G40" s="125">
        <v>0</v>
      </c>
      <c r="H40" s="125">
        <v>3</v>
      </c>
      <c r="I40" s="125">
        <v>0</v>
      </c>
      <c r="J40" s="125">
        <v>0</v>
      </c>
      <c r="K40" s="125">
        <v>1</v>
      </c>
      <c r="L40" s="125">
        <v>1</v>
      </c>
      <c r="M40" s="125">
        <v>1</v>
      </c>
      <c r="N40" s="125">
        <v>0</v>
      </c>
      <c r="O40" s="125">
        <v>0</v>
      </c>
      <c r="P40" s="125">
        <v>0</v>
      </c>
      <c r="Q40" s="125">
        <v>0</v>
      </c>
      <c r="R40" s="125">
        <v>1</v>
      </c>
      <c r="S40" s="125">
        <v>0</v>
      </c>
      <c r="T40" s="125">
        <v>0</v>
      </c>
      <c r="U40" s="125">
        <v>0</v>
      </c>
      <c r="V40" s="125">
        <v>1</v>
      </c>
      <c r="W40" s="125">
        <v>0</v>
      </c>
      <c r="X40" s="125">
        <v>0</v>
      </c>
      <c r="Y40" s="125">
        <v>0</v>
      </c>
      <c r="Z40" s="125">
        <v>0</v>
      </c>
      <c r="AA40" s="125">
        <v>0</v>
      </c>
      <c r="AB40" s="125"/>
      <c r="AC40" s="125"/>
      <c r="AD40" s="125"/>
      <c r="AE40" s="125"/>
      <c r="AF40" s="56"/>
      <c r="AG40" s="63">
        <f t="shared" si="27"/>
        <v>13</v>
      </c>
      <c r="AH40" s="63"/>
      <c r="AI40" s="63">
        <f t="shared" si="28"/>
        <v>13</v>
      </c>
      <c r="AN40" s="82"/>
    </row>
    <row r="41" spans="1:61" ht="21">
      <c r="A41" s="55" t="s">
        <v>26</v>
      </c>
      <c r="B41" s="125">
        <v>0</v>
      </c>
      <c r="C41" s="125">
        <v>0</v>
      </c>
      <c r="D41" s="125">
        <v>0</v>
      </c>
      <c r="E41" s="125">
        <v>0</v>
      </c>
      <c r="F41" s="125">
        <v>0</v>
      </c>
      <c r="G41" s="125">
        <v>0</v>
      </c>
      <c r="H41" s="125">
        <v>0</v>
      </c>
      <c r="I41" s="125">
        <v>0</v>
      </c>
      <c r="J41" s="125">
        <v>0</v>
      </c>
      <c r="K41" s="125">
        <v>0</v>
      </c>
      <c r="L41" s="125">
        <v>1</v>
      </c>
      <c r="M41" s="125">
        <v>0</v>
      </c>
      <c r="N41" s="125">
        <v>0</v>
      </c>
      <c r="O41" s="125">
        <v>0</v>
      </c>
      <c r="P41" s="125">
        <v>0</v>
      </c>
      <c r="Q41" s="125">
        <v>0</v>
      </c>
      <c r="R41" s="125">
        <v>0</v>
      </c>
      <c r="S41" s="125">
        <v>0</v>
      </c>
      <c r="T41" s="125">
        <v>0</v>
      </c>
      <c r="U41" s="125">
        <v>0</v>
      </c>
      <c r="V41" s="125">
        <v>0</v>
      </c>
      <c r="W41" s="125">
        <v>0</v>
      </c>
      <c r="X41" s="125">
        <v>0</v>
      </c>
      <c r="Y41" s="125">
        <v>2</v>
      </c>
      <c r="Z41" s="125">
        <v>0</v>
      </c>
      <c r="AA41" s="125">
        <v>0</v>
      </c>
      <c r="AB41" s="125"/>
      <c r="AC41" s="125"/>
      <c r="AD41" s="125"/>
      <c r="AE41" s="125"/>
      <c r="AF41" s="56"/>
      <c r="AG41" s="63">
        <f t="shared" si="27"/>
        <v>3</v>
      </c>
      <c r="AH41" s="63"/>
      <c r="AI41" s="63">
        <f t="shared" si="28"/>
        <v>3</v>
      </c>
    </row>
    <row r="42" spans="1:61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7"/>
        <v>0</v>
      </c>
      <c r="AH42" s="70"/>
      <c r="AI42" s="63">
        <f t="shared" si="28"/>
        <v>0</v>
      </c>
    </row>
    <row r="43" spans="1:61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7"/>
        <v>0</v>
      </c>
      <c r="AH43" s="71"/>
      <c r="AI43" s="63">
        <f t="shared" si="28"/>
        <v>0</v>
      </c>
    </row>
    <row r="44" spans="1:61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7"/>
        <v>0</v>
      </c>
      <c r="AH44" s="63"/>
      <c r="AI44" s="63">
        <f t="shared" si="28"/>
        <v>0</v>
      </c>
    </row>
    <row r="45" spans="1:61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1" ht="21">
      <c r="A46" s="53"/>
      <c r="B46" s="54">
        <v>46204</v>
      </c>
      <c r="C46" s="54">
        <v>46205</v>
      </c>
      <c r="D46" s="54">
        <v>46206</v>
      </c>
      <c r="E46" s="54">
        <v>46207</v>
      </c>
      <c r="F46" s="54">
        <v>46208</v>
      </c>
      <c r="G46" s="54">
        <v>46209</v>
      </c>
      <c r="H46" s="54">
        <v>46210</v>
      </c>
      <c r="I46" s="54">
        <v>46211</v>
      </c>
      <c r="J46" s="54">
        <v>46212</v>
      </c>
      <c r="K46" s="54">
        <v>46213</v>
      </c>
      <c r="L46" s="54">
        <v>46214</v>
      </c>
      <c r="M46" s="54">
        <v>46215</v>
      </c>
      <c r="N46" s="54">
        <v>46216</v>
      </c>
      <c r="O46" s="54">
        <v>46217</v>
      </c>
      <c r="P46" s="54">
        <v>46218</v>
      </c>
      <c r="Q46" s="54">
        <v>46219</v>
      </c>
      <c r="R46" s="54">
        <v>46220</v>
      </c>
      <c r="S46" s="54">
        <v>46221</v>
      </c>
      <c r="T46" s="54">
        <v>46222</v>
      </c>
      <c r="U46" s="54">
        <v>46223</v>
      </c>
      <c r="V46" s="54">
        <v>46224</v>
      </c>
      <c r="W46" s="54">
        <v>46225</v>
      </c>
      <c r="X46" s="54">
        <v>46226</v>
      </c>
      <c r="Y46" s="54">
        <v>46227</v>
      </c>
      <c r="Z46" s="54">
        <v>46228</v>
      </c>
      <c r="AA46" s="54">
        <v>46229</v>
      </c>
      <c r="AB46" s="54">
        <v>46230</v>
      </c>
      <c r="AC46" s="54">
        <v>46231</v>
      </c>
      <c r="AD46" s="54">
        <v>46232</v>
      </c>
      <c r="AE46" s="54">
        <v>46233</v>
      </c>
      <c r="AF46" s="54">
        <v>46234</v>
      </c>
      <c r="AG46" s="61" t="s">
        <v>2</v>
      </c>
      <c r="AH46" s="61" t="s">
        <v>3</v>
      </c>
      <c r="AI46" s="62" t="s">
        <v>52</v>
      </c>
    </row>
    <row r="47" spans="1:61" ht="21">
      <c r="A47" s="55" t="s">
        <v>5</v>
      </c>
      <c r="B47" s="56">
        <v>16</v>
      </c>
      <c r="C47" s="56">
        <v>19</v>
      </c>
      <c r="D47" s="56">
        <v>16</v>
      </c>
      <c r="E47" s="56">
        <v>32</v>
      </c>
      <c r="F47" s="56">
        <v>32</v>
      </c>
      <c r="G47" s="56">
        <v>22</v>
      </c>
      <c r="H47" s="56">
        <v>16</v>
      </c>
      <c r="I47" s="56">
        <v>18</v>
      </c>
      <c r="J47" s="56">
        <v>19</v>
      </c>
      <c r="K47" s="56">
        <v>19</v>
      </c>
      <c r="L47" s="56">
        <v>38</v>
      </c>
      <c r="M47" s="56">
        <v>19</v>
      </c>
      <c r="N47" s="56">
        <v>16</v>
      </c>
      <c r="O47" s="56">
        <v>21</v>
      </c>
      <c r="P47" s="56">
        <v>12</v>
      </c>
      <c r="Q47" s="56">
        <v>19</v>
      </c>
      <c r="R47" s="56">
        <v>21</v>
      </c>
      <c r="S47" s="56">
        <v>34</v>
      </c>
      <c r="T47" s="56">
        <v>18</v>
      </c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63">
        <f>SUM(B47:AF47)</f>
        <v>407</v>
      </c>
      <c r="AH47" s="63"/>
      <c r="AI47" s="63">
        <f>AG47</f>
        <v>407</v>
      </c>
    </row>
    <row r="48" spans="1:61" ht="21">
      <c r="A48" s="55" t="s">
        <v>21</v>
      </c>
      <c r="B48" s="56">
        <v>9</v>
      </c>
      <c r="C48" s="56">
        <v>11</v>
      </c>
      <c r="D48" s="56">
        <v>9</v>
      </c>
      <c r="E48" s="56">
        <v>17</v>
      </c>
      <c r="F48" s="56">
        <v>23</v>
      </c>
      <c r="G48" s="56">
        <v>17</v>
      </c>
      <c r="H48" s="56">
        <v>9</v>
      </c>
      <c r="I48" s="56">
        <v>11</v>
      </c>
      <c r="J48" s="56">
        <v>13</v>
      </c>
      <c r="K48" s="56">
        <v>13</v>
      </c>
      <c r="L48" s="56">
        <v>28</v>
      </c>
      <c r="M48" s="56">
        <v>14</v>
      </c>
      <c r="N48" s="56">
        <v>12</v>
      </c>
      <c r="O48" s="56">
        <v>10</v>
      </c>
      <c r="P48" s="56">
        <v>8</v>
      </c>
      <c r="Q48" s="56">
        <v>12</v>
      </c>
      <c r="R48" s="56">
        <v>16</v>
      </c>
      <c r="S48" s="56">
        <v>17</v>
      </c>
      <c r="T48" s="56">
        <v>12</v>
      </c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63">
        <f t="shared" ref="AG48:AG55" si="29">SUM(B48:AF48)</f>
        <v>261</v>
      </c>
      <c r="AH48" s="63"/>
      <c r="AI48" s="63">
        <f>AG48+AH50+AH51+AH52</f>
        <v>261</v>
      </c>
    </row>
    <row r="49" spans="1:35" ht="21">
      <c r="A49" s="55" t="s">
        <v>22</v>
      </c>
      <c r="B49" s="125">
        <v>9</v>
      </c>
      <c r="C49" s="125">
        <v>11</v>
      </c>
      <c r="D49" s="125">
        <v>8</v>
      </c>
      <c r="E49" s="125">
        <v>15</v>
      </c>
      <c r="F49" s="125">
        <v>21</v>
      </c>
      <c r="G49" s="125">
        <v>16</v>
      </c>
      <c r="H49" s="125">
        <v>7</v>
      </c>
      <c r="I49" s="125">
        <v>11</v>
      </c>
      <c r="J49" s="125">
        <v>12</v>
      </c>
      <c r="K49" s="125">
        <v>11</v>
      </c>
      <c r="L49" s="125">
        <v>27</v>
      </c>
      <c r="M49" s="125">
        <v>14</v>
      </c>
      <c r="N49" s="125">
        <v>12</v>
      </c>
      <c r="O49" s="125">
        <v>10</v>
      </c>
      <c r="P49" s="125">
        <v>8</v>
      </c>
      <c r="Q49" s="125">
        <v>11</v>
      </c>
      <c r="R49" s="125">
        <v>16</v>
      </c>
      <c r="S49" s="125">
        <v>14</v>
      </c>
      <c r="T49" s="125">
        <v>10</v>
      </c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56"/>
      <c r="AG49" s="63">
        <f t="shared" si="29"/>
        <v>243</v>
      </c>
      <c r="AH49" s="63"/>
      <c r="AI49" s="63">
        <f>AG49+AH50+AH51+AH52</f>
        <v>243</v>
      </c>
    </row>
    <row r="50" spans="1:35" ht="21">
      <c r="A50" s="55" t="s">
        <v>23</v>
      </c>
      <c r="B50" s="125">
        <v>0</v>
      </c>
      <c r="C50" s="125">
        <v>0</v>
      </c>
      <c r="D50" s="125">
        <v>0</v>
      </c>
      <c r="E50" s="125">
        <v>0</v>
      </c>
      <c r="F50" s="125">
        <v>0</v>
      </c>
      <c r="G50" s="125">
        <v>0</v>
      </c>
      <c r="H50" s="125">
        <v>1</v>
      </c>
      <c r="I50" s="125">
        <v>0</v>
      </c>
      <c r="J50" s="125">
        <v>1</v>
      </c>
      <c r="K50" s="125">
        <v>2</v>
      </c>
      <c r="L50" s="125">
        <v>0</v>
      </c>
      <c r="M50" s="125">
        <v>0</v>
      </c>
      <c r="N50" s="125">
        <v>0</v>
      </c>
      <c r="O50" s="125">
        <v>0</v>
      </c>
      <c r="P50" s="125">
        <v>0</v>
      </c>
      <c r="Q50" s="125">
        <v>1</v>
      </c>
      <c r="R50" s="125">
        <v>0</v>
      </c>
      <c r="S50" s="125">
        <v>0</v>
      </c>
      <c r="T50" s="125">
        <v>1</v>
      </c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56"/>
      <c r="AG50" s="63">
        <f t="shared" si="29"/>
        <v>6</v>
      </c>
      <c r="AH50" s="63"/>
      <c r="AI50" s="63">
        <f t="shared" ref="AI50:AI55" si="30">AG50-AH50</f>
        <v>6</v>
      </c>
    </row>
    <row r="51" spans="1:35" ht="21">
      <c r="A51" s="55" t="s">
        <v>24</v>
      </c>
      <c r="B51" s="125">
        <v>0</v>
      </c>
      <c r="C51" s="125">
        <v>0</v>
      </c>
      <c r="D51" s="125">
        <v>0</v>
      </c>
      <c r="E51" s="125">
        <v>0</v>
      </c>
      <c r="F51" s="125">
        <v>0</v>
      </c>
      <c r="G51" s="125">
        <v>1</v>
      </c>
      <c r="H51" s="125">
        <v>0</v>
      </c>
      <c r="I51" s="125">
        <v>0</v>
      </c>
      <c r="J51" s="125">
        <v>0</v>
      </c>
      <c r="K51" s="125">
        <v>0</v>
      </c>
      <c r="L51" s="125">
        <v>0</v>
      </c>
      <c r="M51" s="125">
        <v>0</v>
      </c>
      <c r="N51" s="125">
        <v>0</v>
      </c>
      <c r="O51" s="125">
        <v>0</v>
      </c>
      <c r="P51" s="125">
        <v>0</v>
      </c>
      <c r="Q51" s="125">
        <v>0</v>
      </c>
      <c r="R51" s="125">
        <v>0</v>
      </c>
      <c r="S51" s="125">
        <v>0</v>
      </c>
      <c r="T51" s="125">
        <v>1</v>
      </c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56"/>
      <c r="AG51" s="63">
        <f t="shared" si="29"/>
        <v>2</v>
      </c>
      <c r="AH51" s="63"/>
      <c r="AI51" s="63">
        <f t="shared" si="30"/>
        <v>2</v>
      </c>
    </row>
    <row r="52" spans="1:35" ht="21">
      <c r="A52" s="55" t="s">
        <v>26</v>
      </c>
      <c r="B52" s="125">
        <v>0</v>
      </c>
      <c r="C52" s="125">
        <v>0</v>
      </c>
      <c r="D52" s="125">
        <v>1</v>
      </c>
      <c r="E52" s="125">
        <v>2</v>
      </c>
      <c r="F52" s="125">
        <v>2</v>
      </c>
      <c r="G52" s="125">
        <v>0</v>
      </c>
      <c r="H52" s="125">
        <v>1</v>
      </c>
      <c r="I52" s="125">
        <v>0</v>
      </c>
      <c r="J52" s="125">
        <v>0</v>
      </c>
      <c r="K52" s="125">
        <v>0</v>
      </c>
      <c r="L52" s="125">
        <v>1</v>
      </c>
      <c r="M52" s="125">
        <v>0</v>
      </c>
      <c r="N52" s="125">
        <v>0</v>
      </c>
      <c r="O52" s="125">
        <v>0</v>
      </c>
      <c r="P52" s="125">
        <v>0</v>
      </c>
      <c r="Q52" s="125">
        <v>0</v>
      </c>
      <c r="R52" s="125">
        <v>0</v>
      </c>
      <c r="S52" s="125">
        <v>3</v>
      </c>
      <c r="T52" s="125">
        <v>0</v>
      </c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56"/>
      <c r="AG52" s="63">
        <f t="shared" si="29"/>
        <v>10</v>
      </c>
      <c r="AH52" s="63"/>
      <c r="AI52" s="63">
        <f t="shared" si="30"/>
        <v>10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9"/>
        <v>0</v>
      </c>
      <c r="AH53" s="70"/>
      <c r="AI53" s="63">
        <f t="shared" si="30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9"/>
        <v>0</v>
      </c>
      <c r="AH54" s="71"/>
      <c r="AI54" s="63">
        <f t="shared" si="30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9"/>
        <v>0</v>
      </c>
      <c r="AH55" s="63"/>
      <c r="AI55" s="63">
        <f t="shared" si="30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46204</v>
      </c>
      <c r="C57" s="54">
        <v>46205</v>
      </c>
      <c r="D57" s="54">
        <v>46206</v>
      </c>
      <c r="E57" s="54">
        <v>46207</v>
      </c>
      <c r="F57" s="54">
        <v>46208</v>
      </c>
      <c r="G57" s="54">
        <v>46209</v>
      </c>
      <c r="H57" s="54">
        <v>46210</v>
      </c>
      <c r="I57" s="54">
        <v>46211</v>
      </c>
      <c r="J57" s="54">
        <v>46212</v>
      </c>
      <c r="K57" s="54">
        <v>46213</v>
      </c>
      <c r="L57" s="54">
        <v>46214</v>
      </c>
      <c r="M57" s="54">
        <v>46215</v>
      </c>
      <c r="N57" s="54">
        <v>46216</v>
      </c>
      <c r="O57" s="54">
        <v>46217</v>
      </c>
      <c r="P57" s="54">
        <v>46218</v>
      </c>
      <c r="Q57" s="54">
        <v>46219</v>
      </c>
      <c r="R57" s="54">
        <v>46220</v>
      </c>
      <c r="S57" s="54">
        <v>46221</v>
      </c>
      <c r="T57" s="54">
        <v>46222</v>
      </c>
      <c r="U57" s="54">
        <v>46223</v>
      </c>
      <c r="V57" s="54">
        <v>46224</v>
      </c>
      <c r="W57" s="54">
        <v>46225</v>
      </c>
      <c r="X57" s="54">
        <v>46226</v>
      </c>
      <c r="Y57" s="54">
        <v>46227</v>
      </c>
      <c r="Z57" s="54">
        <v>46228</v>
      </c>
      <c r="AA57" s="54">
        <v>46229</v>
      </c>
      <c r="AB57" s="54">
        <v>46230</v>
      </c>
      <c r="AC57" s="54">
        <v>46231</v>
      </c>
      <c r="AD57" s="54">
        <v>46232</v>
      </c>
      <c r="AE57" s="54">
        <v>46233</v>
      </c>
      <c r="AF57" s="54">
        <v>46234</v>
      </c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>
        <v>25</v>
      </c>
      <c r="C58" s="56">
        <v>45</v>
      </c>
      <c r="D58" s="56">
        <v>28</v>
      </c>
      <c r="E58" s="56">
        <v>35</v>
      </c>
      <c r="F58" s="56">
        <v>55</v>
      </c>
      <c r="G58" s="56">
        <v>27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63">
        <f>SUM(B58:AF58)</f>
        <v>215</v>
      </c>
      <c r="AH58" s="63"/>
      <c r="AI58" s="63">
        <f>AG58</f>
        <v>215</v>
      </c>
    </row>
    <row r="59" spans="1:35" ht="21">
      <c r="A59" s="55" t="s">
        <v>21</v>
      </c>
      <c r="B59" s="56">
        <v>17</v>
      </c>
      <c r="C59" s="56">
        <v>30</v>
      </c>
      <c r="D59" s="56">
        <v>15</v>
      </c>
      <c r="E59" s="56">
        <v>18</v>
      </c>
      <c r="F59" s="56">
        <v>34</v>
      </c>
      <c r="G59" s="56">
        <v>13</v>
      </c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63">
        <f t="shared" ref="AG59:AG66" si="31">SUM(B59:AF59)</f>
        <v>127</v>
      </c>
      <c r="AH59" s="63"/>
      <c r="AI59" s="63">
        <f>AG59+AH61+AH62+AH63</f>
        <v>127</v>
      </c>
    </row>
    <row r="60" spans="1:35" ht="21">
      <c r="A60" s="55" t="s">
        <v>22</v>
      </c>
      <c r="B60" s="125">
        <v>15</v>
      </c>
      <c r="C60" s="125">
        <v>26</v>
      </c>
      <c r="D60" s="125">
        <v>15</v>
      </c>
      <c r="E60" s="125">
        <v>18</v>
      </c>
      <c r="F60" s="125">
        <v>28</v>
      </c>
      <c r="G60" s="125">
        <v>10</v>
      </c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56"/>
      <c r="AG60" s="63">
        <f t="shared" si="31"/>
        <v>112</v>
      </c>
      <c r="AH60" s="63"/>
      <c r="AI60" s="63">
        <f>AG60+AH61+AH62+AH63</f>
        <v>112</v>
      </c>
    </row>
    <row r="61" spans="1:35" ht="21">
      <c r="A61" s="55" t="s">
        <v>23</v>
      </c>
      <c r="B61" s="125">
        <v>0</v>
      </c>
      <c r="C61" s="125">
        <v>0</v>
      </c>
      <c r="D61" s="125">
        <v>0</v>
      </c>
      <c r="E61" s="125">
        <v>0</v>
      </c>
      <c r="F61" s="125">
        <v>0</v>
      </c>
      <c r="G61" s="125">
        <v>0</v>
      </c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56"/>
      <c r="AG61" s="63">
        <f t="shared" si="31"/>
        <v>0</v>
      </c>
      <c r="AH61" s="63"/>
      <c r="AI61" s="63">
        <f t="shared" ref="AI61:AI66" si="32">AG61-AH61</f>
        <v>0</v>
      </c>
    </row>
    <row r="62" spans="1:35" ht="21">
      <c r="A62" s="55" t="s">
        <v>24</v>
      </c>
      <c r="B62" s="125">
        <v>0</v>
      </c>
      <c r="C62" s="125">
        <v>0</v>
      </c>
      <c r="D62" s="125">
        <v>0</v>
      </c>
      <c r="E62" s="125">
        <v>0</v>
      </c>
      <c r="F62" s="125">
        <v>0</v>
      </c>
      <c r="G62" s="125">
        <v>0</v>
      </c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56"/>
      <c r="AG62" s="63">
        <f t="shared" si="31"/>
        <v>0</v>
      </c>
      <c r="AH62" s="63"/>
      <c r="AI62" s="63">
        <f t="shared" si="32"/>
        <v>0</v>
      </c>
    </row>
    <row r="63" spans="1:35" ht="21">
      <c r="A63" s="55" t="s">
        <v>26</v>
      </c>
      <c r="B63" s="125">
        <v>2</v>
      </c>
      <c r="C63" s="125">
        <v>4</v>
      </c>
      <c r="D63" s="125">
        <v>0</v>
      </c>
      <c r="E63" s="125">
        <v>0</v>
      </c>
      <c r="F63" s="125">
        <v>6</v>
      </c>
      <c r="G63" s="125">
        <v>3</v>
      </c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56"/>
      <c r="AG63" s="63">
        <f t="shared" si="31"/>
        <v>15</v>
      </c>
      <c r="AH63" s="63"/>
      <c r="AI63" s="63">
        <f t="shared" si="32"/>
        <v>15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1"/>
        <v>0</v>
      </c>
      <c r="AH64" s="70"/>
      <c r="AI64" s="63">
        <f t="shared" si="32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1"/>
        <v>0</v>
      </c>
      <c r="AH65" s="71"/>
      <c r="AI65" s="63">
        <f t="shared" si="32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1"/>
        <v>0</v>
      </c>
      <c r="AH66" s="63"/>
      <c r="AI66" s="63">
        <f t="shared" si="32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46204</v>
      </c>
      <c r="C68" s="54">
        <v>46205</v>
      </c>
      <c r="D68" s="54">
        <v>46206</v>
      </c>
      <c r="E68" s="54">
        <v>46207</v>
      </c>
      <c r="F68" s="54">
        <v>46208</v>
      </c>
      <c r="G68" s="54">
        <v>46209</v>
      </c>
      <c r="H68" s="54">
        <v>46210</v>
      </c>
      <c r="I68" s="54">
        <v>46211</v>
      </c>
      <c r="J68" s="54">
        <v>46212</v>
      </c>
      <c r="K68" s="54">
        <v>46213</v>
      </c>
      <c r="L68" s="54">
        <v>46214</v>
      </c>
      <c r="M68" s="54">
        <v>46215</v>
      </c>
      <c r="N68" s="54">
        <v>46216</v>
      </c>
      <c r="O68" s="54">
        <v>46217</v>
      </c>
      <c r="P68" s="54">
        <v>46218</v>
      </c>
      <c r="Q68" s="54">
        <v>46219</v>
      </c>
      <c r="R68" s="54">
        <v>46220</v>
      </c>
      <c r="S68" s="54">
        <v>46221</v>
      </c>
      <c r="T68" s="54">
        <v>46222</v>
      </c>
      <c r="U68" s="54">
        <v>46223</v>
      </c>
      <c r="V68" s="54">
        <v>46224</v>
      </c>
      <c r="W68" s="54">
        <v>46225</v>
      </c>
      <c r="X68" s="54">
        <v>46226</v>
      </c>
      <c r="Y68" s="54">
        <v>46227</v>
      </c>
      <c r="Z68" s="54">
        <v>46228</v>
      </c>
      <c r="AA68" s="54">
        <v>46229</v>
      </c>
      <c r="AB68" s="54">
        <v>46230</v>
      </c>
      <c r="AC68" s="54">
        <v>46231</v>
      </c>
      <c r="AD68" s="54">
        <v>46232</v>
      </c>
      <c r="AE68" s="54">
        <v>46233</v>
      </c>
      <c r="AF68" s="54">
        <v>46234</v>
      </c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>
        <v>21</v>
      </c>
      <c r="C69" s="56">
        <v>30</v>
      </c>
      <c r="D69" s="56">
        <v>31</v>
      </c>
      <c r="E69" s="56">
        <v>53</v>
      </c>
      <c r="F69" s="56">
        <v>24</v>
      </c>
      <c r="G69" s="56">
        <v>24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63">
        <f>SUM(B69:AF69)</f>
        <v>183</v>
      </c>
      <c r="AH69" s="63"/>
      <c r="AI69" s="63">
        <f>AG69</f>
        <v>183</v>
      </c>
    </row>
    <row r="70" spans="1:35" ht="21">
      <c r="A70" s="55" t="s">
        <v>21</v>
      </c>
      <c r="B70" s="56">
        <v>14</v>
      </c>
      <c r="C70" s="56">
        <v>21</v>
      </c>
      <c r="D70" s="56">
        <v>20</v>
      </c>
      <c r="E70" s="56">
        <v>32</v>
      </c>
      <c r="F70" s="56">
        <v>18</v>
      </c>
      <c r="G70" s="56">
        <v>13</v>
      </c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63">
        <f t="shared" ref="AG70:AG77" si="33">SUM(B70:AF70)</f>
        <v>118</v>
      </c>
      <c r="AH70" s="63"/>
      <c r="AI70" s="63">
        <f>AG70+AH72+AH73+AH74</f>
        <v>118</v>
      </c>
    </row>
    <row r="71" spans="1:35" ht="21">
      <c r="A71" s="55" t="s">
        <v>22</v>
      </c>
      <c r="B71" s="125">
        <v>13</v>
      </c>
      <c r="C71" s="125">
        <v>17</v>
      </c>
      <c r="D71" s="125">
        <v>18</v>
      </c>
      <c r="E71" s="125">
        <v>30</v>
      </c>
      <c r="F71" s="125">
        <v>16</v>
      </c>
      <c r="G71" s="125">
        <v>13</v>
      </c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56"/>
      <c r="AG71" s="63">
        <f t="shared" si="33"/>
        <v>107</v>
      </c>
      <c r="AH71" s="63"/>
      <c r="AI71" s="63">
        <f>AG71+AH72+AH73+AH74</f>
        <v>107</v>
      </c>
    </row>
    <row r="72" spans="1:35" ht="21">
      <c r="A72" s="55" t="s">
        <v>23</v>
      </c>
      <c r="B72" s="125">
        <v>0</v>
      </c>
      <c r="C72" s="125">
        <v>0</v>
      </c>
      <c r="D72" s="125">
        <v>0</v>
      </c>
      <c r="E72" s="125">
        <v>0</v>
      </c>
      <c r="F72" s="125">
        <v>0</v>
      </c>
      <c r="G72" s="125">
        <v>0</v>
      </c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56"/>
      <c r="AG72" s="63">
        <f t="shared" si="33"/>
        <v>0</v>
      </c>
      <c r="AH72" s="63"/>
      <c r="AI72" s="63">
        <f t="shared" ref="AI72:AI77" si="34">AG72-AH72</f>
        <v>0</v>
      </c>
    </row>
    <row r="73" spans="1:35" ht="21">
      <c r="A73" s="55" t="s">
        <v>24</v>
      </c>
      <c r="B73" s="125">
        <v>0</v>
      </c>
      <c r="C73" s="125">
        <v>0</v>
      </c>
      <c r="D73" s="125">
        <v>0</v>
      </c>
      <c r="E73" s="125">
        <v>0</v>
      </c>
      <c r="F73" s="125">
        <v>0</v>
      </c>
      <c r="G73" s="125">
        <v>0</v>
      </c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56"/>
      <c r="AG73" s="63">
        <f t="shared" si="33"/>
        <v>0</v>
      </c>
      <c r="AH73" s="63"/>
      <c r="AI73" s="63">
        <f t="shared" si="34"/>
        <v>0</v>
      </c>
    </row>
    <row r="74" spans="1:35" ht="21">
      <c r="A74" s="55" t="s">
        <v>26</v>
      </c>
      <c r="B74" s="125">
        <v>1</v>
      </c>
      <c r="C74" s="125">
        <v>4</v>
      </c>
      <c r="D74" s="125">
        <v>2</v>
      </c>
      <c r="E74" s="125">
        <v>2</v>
      </c>
      <c r="F74" s="125">
        <v>2</v>
      </c>
      <c r="G74" s="125">
        <v>0</v>
      </c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56"/>
      <c r="AG74" s="63">
        <f t="shared" si="33"/>
        <v>11</v>
      </c>
      <c r="AH74" s="63"/>
      <c r="AI74" s="63">
        <f t="shared" si="34"/>
        <v>11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3"/>
        <v>0</v>
      </c>
      <c r="AH75" s="70"/>
      <c r="AI75" s="63">
        <f t="shared" si="34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3"/>
        <v>0</v>
      </c>
      <c r="AH76" s="71"/>
      <c r="AI76" s="63">
        <f t="shared" si="34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3"/>
        <v>0</v>
      </c>
      <c r="AH77" s="63"/>
      <c r="AI77" s="63">
        <f t="shared" si="34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46204</v>
      </c>
      <c r="C79" s="54">
        <v>46205</v>
      </c>
      <c r="D79" s="54">
        <v>46206</v>
      </c>
      <c r="E79" s="54">
        <v>46207</v>
      </c>
      <c r="F79" s="54">
        <v>46208</v>
      </c>
      <c r="G79" s="54">
        <v>46209</v>
      </c>
      <c r="H79" s="54">
        <v>46210</v>
      </c>
      <c r="I79" s="54">
        <v>46211</v>
      </c>
      <c r="J79" s="54">
        <v>46212</v>
      </c>
      <c r="K79" s="54">
        <v>46213</v>
      </c>
      <c r="L79" s="54">
        <v>46214</v>
      </c>
      <c r="M79" s="54">
        <v>46215</v>
      </c>
      <c r="N79" s="54">
        <v>46216</v>
      </c>
      <c r="O79" s="54">
        <v>46217</v>
      </c>
      <c r="P79" s="54">
        <v>46218</v>
      </c>
      <c r="Q79" s="54">
        <v>46219</v>
      </c>
      <c r="R79" s="54">
        <v>46220</v>
      </c>
      <c r="S79" s="54">
        <v>46221</v>
      </c>
      <c r="T79" s="54">
        <v>46222</v>
      </c>
      <c r="U79" s="54">
        <v>46223</v>
      </c>
      <c r="V79" s="54">
        <v>46224</v>
      </c>
      <c r="W79" s="54">
        <v>46225</v>
      </c>
      <c r="X79" s="54">
        <v>46226</v>
      </c>
      <c r="Y79" s="54">
        <v>46227</v>
      </c>
      <c r="Z79" s="54">
        <v>46228</v>
      </c>
      <c r="AA79" s="54">
        <v>46229</v>
      </c>
      <c r="AB79" s="54">
        <v>46230</v>
      </c>
      <c r="AC79" s="54">
        <v>46231</v>
      </c>
      <c r="AD79" s="54">
        <v>46232</v>
      </c>
      <c r="AE79" s="54">
        <v>46233</v>
      </c>
      <c r="AF79" s="54">
        <v>46234</v>
      </c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>
        <v>25</v>
      </c>
      <c r="C80" s="56">
        <v>19</v>
      </c>
      <c r="D80" s="56">
        <v>46</v>
      </c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63">
        <f>SUM(B80:AF80)</f>
        <v>90</v>
      </c>
      <c r="AH80" s="63"/>
      <c r="AI80" s="63">
        <f>AG80</f>
        <v>90</v>
      </c>
    </row>
    <row r="81" spans="1:68" ht="21">
      <c r="A81" s="55" t="s">
        <v>21</v>
      </c>
      <c r="B81" s="56">
        <v>11</v>
      </c>
      <c r="C81" s="56">
        <v>9</v>
      </c>
      <c r="D81" s="56">
        <v>33</v>
      </c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63">
        <f t="shared" ref="AG81:AG88" si="35">SUM(B81:AF81)</f>
        <v>53</v>
      </c>
      <c r="AH81" s="63"/>
      <c r="AI81" s="63">
        <f>AG81+AH83+AH84+AH85</f>
        <v>53</v>
      </c>
    </row>
    <row r="82" spans="1:68" ht="21">
      <c r="A82" s="55" t="s">
        <v>22</v>
      </c>
      <c r="B82" s="125">
        <v>10</v>
      </c>
      <c r="C82" s="125">
        <v>9</v>
      </c>
      <c r="D82" s="125">
        <v>30</v>
      </c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56"/>
      <c r="AG82" s="63">
        <f t="shared" si="35"/>
        <v>49</v>
      </c>
      <c r="AH82" s="63"/>
      <c r="AI82" s="63">
        <f>AG82+AH83+AH84+AH85</f>
        <v>49</v>
      </c>
    </row>
    <row r="83" spans="1:68" ht="21">
      <c r="A83" s="55" t="s">
        <v>23</v>
      </c>
      <c r="B83" s="125">
        <v>0</v>
      </c>
      <c r="C83" s="125">
        <v>0</v>
      </c>
      <c r="D83" s="125">
        <v>0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56"/>
      <c r="AG83" s="63">
        <f t="shared" si="35"/>
        <v>0</v>
      </c>
      <c r="AH83" s="63"/>
      <c r="AI83" s="63">
        <f t="shared" ref="AI83:AI88" si="36">AG83-AH83</f>
        <v>0</v>
      </c>
    </row>
    <row r="84" spans="1:68" ht="21">
      <c r="A84" s="55" t="s">
        <v>24</v>
      </c>
      <c r="B84" s="125">
        <v>0</v>
      </c>
      <c r="C84" s="125">
        <v>0</v>
      </c>
      <c r="D84" s="125">
        <v>0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56"/>
      <c r="AG84" s="63">
        <f t="shared" si="35"/>
        <v>0</v>
      </c>
      <c r="AH84" s="63"/>
      <c r="AI84" s="63">
        <f t="shared" si="36"/>
        <v>0</v>
      </c>
    </row>
    <row r="85" spans="1:68" ht="21">
      <c r="A85" s="55" t="s">
        <v>26</v>
      </c>
      <c r="B85" s="125">
        <v>1</v>
      </c>
      <c r="C85" s="125">
        <v>0</v>
      </c>
      <c r="D85" s="125">
        <v>3</v>
      </c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56"/>
      <c r="AG85" s="63">
        <f t="shared" si="35"/>
        <v>4</v>
      </c>
      <c r="AH85" s="63"/>
      <c r="AI85" s="63">
        <f t="shared" si="36"/>
        <v>4</v>
      </c>
    </row>
    <row r="86" spans="1:68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5"/>
        <v>0</v>
      </c>
      <c r="AH86" s="70"/>
      <c r="AI86" s="63">
        <f t="shared" si="36"/>
        <v>0</v>
      </c>
    </row>
    <row r="87" spans="1:68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5"/>
        <v>0</v>
      </c>
      <c r="AH87" s="71"/>
      <c r="AI87" s="63">
        <f t="shared" si="36"/>
        <v>0</v>
      </c>
    </row>
    <row r="88" spans="1:68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5"/>
        <v>0</v>
      </c>
      <c r="AH88" s="63"/>
      <c r="AI88" s="63">
        <f t="shared" si="36"/>
        <v>0</v>
      </c>
    </row>
    <row r="89" spans="1:68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AW89"/>
      <c r="BE89" s="3"/>
      <c r="BF89" s="41"/>
      <c r="BG89" s="41"/>
      <c r="BJ89" s="3"/>
      <c r="BK89" s="3"/>
      <c r="BL89" s="3"/>
      <c r="BM89" s="3"/>
      <c r="BN89" s="3"/>
      <c r="BO89" s="3"/>
      <c r="BP89" s="3"/>
    </row>
    <row r="90" spans="1:68" ht="21">
      <c r="A90" s="53"/>
      <c r="B90" s="54">
        <v>46204</v>
      </c>
      <c r="C90" s="54">
        <v>46205</v>
      </c>
      <c r="D90" s="54">
        <v>46206</v>
      </c>
      <c r="E90" s="54">
        <v>46207</v>
      </c>
      <c r="F90" s="54">
        <v>46208</v>
      </c>
      <c r="G90" s="54">
        <v>46209</v>
      </c>
      <c r="H90" s="54">
        <v>46210</v>
      </c>
      <c r="I90" s="54">
        <v>46211</v>
      </c>
      <c r="J90" s="54">
        <v>46212</v>
      </c>
      <c r="K90" s="54">
        <v>46213</v>
      </c>
      <c r="L90" s="54">
        <v>46214</v>
      </c>
      <c r="M90" s="54">
        <v>46215</v>
      </c>
      <c r="N90" s="54">
        <v>46216</v>
      </c>
      <c r="O90" s="54">
        <v>46217</v>
      </c>
      <c r="P90" s="54">
        <v>46218</v>
      </c>
      <c r="Q90" s="54">
        <v>46219</v>
      </c>
      <c r="R90" s="54">
        <v>46220</v>
      </c>
      <c r="S90" s="54">
        <v>46221</v>
      </c>
      <c r="T90" s="54">
        <v>46222</v>
      </c>
      <c r="U90" s="54">
        <v>46223</v>
      </c>
      <c r="V90" s="54">
        <v>46224</v>
      </c>
      <c r="W90" s="54">
        <v>46225</v>
      </c>
      <c r="X90" s="54">
        <v>46226</v>
      </c>
      <c r="Y90" s="54">
        <v>46227</v>
      </c>
      <c r="Z90" s="54">
        <v>46228</v>
      </c>
      <c r="AA90" s="54">
        <v>46229</v>
      </c>
      <c r="AB90" s="54">
        <v>46230</v>
      </c>
      <c r="AC90" s="54">
        <v>46231</v>
      </c>
      <c r="AD90" s="54">
        <v>46232</v>
      </c>
      <c r="AE90" s="54">
        <v>46233</v>
      </c>
      <c r="AF90" s="54">
        <v>46234</v>
      </c>
      <c r="AG90" s="61" t="s">
        <v>2</v>
      </c>
      <c r="AH90" s="61" t="s">
        <v>3</v>
      </c>
      <c r="AI90" s="62" t="s">
        <v>59</v>
      </c>
    </row>
    <row r="91" spans="1:68" ht="21">
      <c r="A91" s="55" t="s">
        <v>56</v>
      </c>
      <c r="B91" s="56">
        <v>41</v>
      </c>
      <c r="C91" s="56">
        <v>38</v>
      </c>
      <c r="D91" s="56">
        <v>38</v>
      </c>
      <c r="E91" s="56">
        <v>39</v>
      </c>
      <c r="F91" s="56">
        <v>36</v>
      </c>
      <c r="G91" s="56">
        <v>27</v>
      </c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63">
        <f>SUM(B91:AF91)</f>
        <v>219</v>
      </c>
      <c r="AH91" s="63"/>
      <c r="AI91" s="63">
        <f>AG91</f>
        <v>219</v>
      </c>
    </row>
    <row r="92" spans="1:68" ht="21">
      <c r="A92" s="55" t="s">
        <v>21</v>
      </c>
      <c r="B92" s="56">
        <v>17</v>
      </c>
      <c r="C92" s="56">
        <v>19</v>
      </c>
      <c r="D92" s="56">
        <v>24</v>
      </c>
      <c r="E92" s="56">
        <v>15</v>
      </c>
      <c r="F92" s="56">
        <v>20</v>
      </c>
      <c r="G92" s="56">
        <v>15</v>
      </c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63">
        <f t="shared" ref="AG92:AG99" si="37">SUM(B92:AF92)</f>
        <v>110</v>
      </c>
      <c r="AH92" s="63"/>
      <c r="AI92" s="63">
        <f>AG92+AH94+AH95+AH96</f>
        <v>110</v>
      </c>
    </row>
    <row r="93" spans="1:68" ht="21">
      <c r="A93" s="55" t="s">
        <v>22</v>
      </c>
      <c r="B93" s="125">
        <v>17</v>
      </c>
      <c r="C93" s="125">
        <v>19</v>
      </c>
      <c r="D93" s="125">
        <v>24</v>
      </c>
      <c r="E93" s="125">
        <v>15</v>
      </c>
      <c r="F93" s="125">
        <v>20</v>
      </c>
      <c r="G93" s="125">
        <v>15</v>
      </c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56"/>
      <c r="AG93" s="63">
        <f t="shared" si="37"/>
        <v>110</v>
      </c>
      <c r="AH93" s="63"/>
      <c r="AI93" s="63">
        <f>AG93+AH94+AH95+AH96</f>
        <v>110</v>
      </c>
    </row>
    <row r="94" spans="1:68" ht="21">
      <c r="A94" s="55" t="s">
        <v>23</v>
      </c>
      <c r="B94" s="125">
        <v>0</v>
      </c>
      <c r="C94" s="125">
        <v>0</v>
      </c>
      <c r="D94" s="125">
        <v>0</v>
      </c>
      <c r="E94" s="125">
        <v>0</v>
      </c>
      <c r="F94" s="125">
        <v>0</v>
      </c>
      <c r="G94" s="125">
        <v>0</v>
      </c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56"/>
      <c r="AG94" s="63">
        <f t="shared" si="37"/>
        <v>0</v>
      </c>
      <c r="AH94" s="63"/>
      <c r="AI94" s="63">
        <f t="shared" ref="AI94:AI99" si="38">AG94-AH94</f>
        <v>0</v>
      </c>
    </row>
    <row r="95" spans="1:68" ht="21">
      <c r="A95" s="55" t="s">
        <v>24</v>
      </c>
      <c r="B95" s="125">
        <v>0</v>
      </c>
      <c r="C95" s="125">
        <v>0</v>
      </c>
      <c r="D95" s="125">
        <v>0</v>
      </c>
      <c r="E95" s="125">
        <v>0</v>
      </c>
      <c r="F95" s="125">
        <v>0</v>
      </c>
      <c r="G95" s="125">
        <v>0</v>
      </c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56"/>
      <c r="AG95" s="63">
        <f t="shared" si="37"/>
        <v>0</v>
      </c>
      <c r="AH95" s="63"/>
      <c r="AI95" s="63">
        <f t="shared" si="38"/>
        <v>0</v>
      </c>
    </row>
    <row r="96" spans="1:68" ht="21">
      <c r="A96" s="55" t="s">
        <v>26</v>
      </c>
      <c r="B96" s="125">
        <v>0</v>
      </c>
      <c r="C96" s="125">
        <v>0</v>
      </c>
      <c r="D96" s="125">
        <v>0</v>
      </c>
      <c r="E96" s="125">
        <v>0</v>
      </c>
      <c r="F96" s="125">
        <v>0</v>
      </c>
      <c r="G96" s="125">
        <v>0</v>
      </c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56"/>
      <c r="AG96" s="63">
        <f t="shared" si="37"/>
        <v>0</v>
      </c>
      <c r="AH96" s="63"/>
      <c r="AI96" s="63">
        <f t="shared" si="38"/>
        <v>0</v>
      </c>
    </row>
    <row r="97" spans="1:76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7"/>
        <v>0</v>
      </c>
      <c r="AH97" s="70"/>
      <c r="AI97" s="63">
        <f t="shared" si="38"/>
        <v>0</v>
      </c>
    </row>
    <row r="98" spans="1:76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7"/>
        <v>0</v>
      </c>
      <c r="AH98" s="71"/>
      <c r="AI98" s="63">
        <f t="shared" si="38"/>
        <v>0</v>
      </c>
    </row>
    <row r="99" spans="1:76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7"/>
        <v>0</v>
      </c>
      <c r="AH99" s="63"/>
      <c r="AI99" s="63">
        <f t="shared" si="38"/>
        <v>0</v>
      </c>
    </row>
    <row r="100" spans="1:76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AW100"/>
      <c r="BE100" s="3"/>
      <c r="BF100" s="41"/>
      <c r="BG100" s="41"/>
      <c r="BJ100" s="3"/>
      <c r="BK100" s="3"/>
      <c r="BL100" s="3"/>
      <c r="BM100" s="3"/>
      <c r="BN100" s="3"/>
      <c r="BO100" s="3"/>
      <c r="BP100" s="3"/>
    </row>
    <row r="101" spans="1:76" ht="21">
      <c r="A101" s="53"/>
      <c r="B101" s="54">
        <v>46204</v>
      </c>
      <c r="C101" s="54">
        <v>46205</v>
      </c>
      <c r="D101" s="54">
        <v>46206</v>
      </c>
      <c r="E101" s="54">
        <v>46207</v>
      </c>
      <c r="F101" s="54">
        <v>46208</v>
      </c>
      <c r="G101" s="54">
        <v>46209</v>
      </c>
      <c r="H101" s="54">
        <v>46210</v>
      </c>
      <c r="I101" s="54">
        <v>46211</v>
      </c>
      <c r="J101" s="54">
        <v>46212</v>
      </c>
      <c r="K101" s="54">
        <v>46213</v>
      </c>
      <c r="L101" s="54">
        <v>46214</v>
      </c>
      <c r="M101" s="54">
        <v>46215</v>
      </c>
      <c r="N101" s="54">
        <v>46216</v>
      </c>
      <c r="O101" s="54">
        <v>46217</v>
      </c>
      <c r="P101" s="54">
        <v>46218</v>
      </c>
      <c r="Q101" s="54">
        <v>46219</v>
      </c>
      <c r="R101" s="54">
        <v>46220</v>
      </c>
      <c r="S101" s="54">
        <v>46221</v>
      </c>
      <c r="T101" s="54">
        <v>46222</v>
      </c>
      <c r="U101" s="54">
        <v>46223</v>
      </c>
      <c r="V101" s="54">
        <v>46224</v>
      </c>
      <c r="W101" s="54">
        <v>46225</v>
      </c>
      <c r="X101" s="54">
        <v>46226</v>
      </c>
      <c r="Y101" s="54">
        <v>46227</v>
      </c>
      <c r="Z101" s="54">
        <v>46228</v>
      </c>
      <c r="AA101" s="54">
        <v>46229</v>
      </c>
      <c r="AB101" s="54">
        <v>46230</v>
      </c>
      <c r="AC101" s="54">
        <v>46231</v>
      </c>
      <c r="AD101" s="54">
        <v>46232</v>
      </c>
      <c r="AE101" s="54">
        <v>46233</v>
      </c>
      <c r="AF101" s="54">
        <v>46234</v>
      </c>
      <c r="AG101" s="61" t="s">
        <v>2</v>
      </c>
      <c r="AH101" s="61" t="s">
        <v>3</v>
      </c>
      <c r="AI101" s="62" t="s">
        <v>61</v>
      </c>
    </row>
    <row r="102" spans="1:76" ht="21">
      <c r="A102" s="55" t="s">
        <v>56</v>
      </c>
      <c r="B102" s="56">
        <v>35</v>
      </c>
      <c r="C102" s="56">
        <v>38</v>
      </c>
      <c r="D102" s="56">
        <v>40</v>
      </c>
      <c r="E102" s="56">
        <v>46</v>
      </c>
      <c r="F102" s="56">
        <v>0</v>
      </c>
      <c r="G102" s="56">
        <v>25</v>
      </c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63">
        <f>SUM(B102:AF102)</f>
        <v>184</v>
      </c>
      <c r="AH102" s="63"/>
      <c r="AI102" s="63">
        <f>AG102</f>
        <v>184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2"/>
      <c r="BW102" s="122"/>
      <c r="BX102" s="123"/>
    </row>
    <row r="103" spans="1:76" ht="21">
      <c r="A103" s="55" t="s">
        <v>21</v>
      </c>
      <c r="B103" s="56">
        <v>16</v>
      </c>
      <c r="C103" s="56">
        <v>20</v>
      </c>
      <c r="D103" s="56">
        <v>20</v>
      </c>
      <c r="E103" s="56">
        <v>21</v>
      </c>
      <c r="F103" s="56">
        <v>0</v>
      </c>
      <c r="G103" s="56">
        <v>12</v>
      </c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63">
        <f t="shared" ref="AG103:AG110" si="39">SUM(B103:AF103)</f>
        <v>89</v>
      </c>
      <c r="AH103" s="63"/>
      <c r="AI103" s="63">
        <f>AG103+AH105+AH106+AH107</f>
        <v>89</v>
      </c>
      <c r="BF103"/>
      <c r="BG103"/>
      <c r="BH103"/>
      <c r="BI103"/>
    </row>
    <row r="104" spans="1:76" ht="21">
      <c r="A104" s="55" t="s">
        <v>22</v>
      </c>
      <c r="B104" s="125">
        <v>16</v>
      </c>
      <c r="C104" s="125">
        <v>20</v>
      </c>
      <c r="D104" s="125">
        <v>20</v>
      </c>
      <c r="E104" s="125">
        <v>21</v>
      </c>
      <c r="F104" s="125">
        <v>0</v>
      </c>
      <c r="G104" s="125">
        <v>13</v>
      </c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56"/>
      <c r="AG104" s="63">
        <f t="shared" si="39"/>
        <v>90</v>
      </c>
      <c r="AH104" s="63"/>
      <c r="AI104" s="63">
        <f>AG104+AH105+AH106+AH107</f>
        <v>90</v>
      </c>
    </row>
    <row r="105" spans="1:76" ht="21">
      <c r="A105" s="55" t="s">
        <v>23</v>
      </c>
      <c r="B105" s="125">
        <v>0</v>
      </c>
      <c r="C105" s="125">
        <v>0</v>
      </c>
      <c r="D105" s="125">
        <v>0</v>
      </c>
      <c r="E105" s="125">
        <v>0</v>
      </c>
      <c r="F105" s="125">
        <v>0</v>
      </c>
      <c r="G105" s="125">
        <v>1</v>
      </c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56"/>
      <c r="AG105" s="63">
        <f t="shared" si="39"/>
        <v>1</v>
      </c>
      <c r="AH105" s="63"/>
      <c r="AI105" s="63">
        <f t="shared" ref="AI105:AI110" si="40">AG105-AH105</f>
        <v>1</v>
      </c>
    </row>
    <row r="106" spans="1:76" ht="21">
      <c r="A106" s="55" t="s">
        <v>24</v>
      </c>
      <c r="B106" s="125">
        <v>0</v>
      </c>
      <c r="C106" s="125">
        <v>0</v>
      </c>
      <c r="D106" s="125">
        <v>0</v>
      </c>
      <c r="E106" s="125">
        <v>0</v>
      </c>
      <c r="F106" s="125">
        <v>0</v>
      </c>
      <c r="G106" s="125">
        <v>0</v>
      </c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56"/>
      <c r="AG106" s="63">
        <f t="shared" si="39"/>
        <v>0</v>
      </c>
      <c r="AH106" s="63"/>
      <c r="AI106" s="63">
        <f t="shared" si="40"/>
        <v>0</v>
      </c>
    </row>
    <row r="107" spans="1:76" ht="21">
      <c r="A107" s="55" t="s">
        <v>26</v>
      </c>
      <c r="B107" s="125">
        <v>0</v>
      </c>
      <c r="C107" s="125">
        <v>0</v>
      </c>
      <c r="D107" s="125">
        <v>0</v>
      </c>
      <c r="E107" s="125">
        <v>0</v>
      </c>
      <c r="F107" s="125">
        <v>0</v>
      </c>
      <c r="G107" s="125">
        <v>0</v>
      </c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56"/>
      <c r="AG107" s="63">
        <f t="shared" si="39"/>
        <v>0</v>
      </c>
      <c r="AH107" s="63"/>
      <c r="AI107" s="63">
        <f t="shared" si="40"/>
        <v>0</v>
      </c>
    </row>
    <row r="108" spans="1:76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9"/>
        <v>0</v>
      </c>
      <c r="AH108" s="70"/>
      <c r="AI108" s="63">
        <f t="shared" si="40"/>
        <v>0</v>
      </c>
    </row>
    <row r="109" spans="1:76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9"/>
        <v>0</v>
      </c>
      <c r="AH109" s="71"/>
      <c r="AI109" s="63">
        <f t="shared" si="40"/>
        <v>0</v>
      </c>
    </row>
    <row r="110" spans="1:76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9"/>
        <v>0</v>
      </c>
      <c r="AH110" s="63"/>
      <c r="AI110" s="63">
        <f t="shared" si="40"/>
        <v>0</v>
      </c>
    </row>
    <row r="113" spans="1:76" ht="23.25">
      <c r="A113" s="250" t="s">
        <v>303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59"/>
      <c r="AI113" s="60"/>
      <c r="AL113"/>
      <c r="AM113"/>
      <c r="AN113"/>
      <c r="AO113"/>
      <c r="AP113"/>
      <c r="AQ113"/>
      <c r="AR113"/>
      <c r="AS113"/>
      <c r="AT113"/>
      <c r="AU113"/>
      <c r="AV113"/>
      <c r="AW113"/>
      <c r="BE113" s="3"/>
      <c r="BF113" s="41"/>
      <c r="BG113" s="41"/>
      <c r="BJ113" s="3"/>
      <c r="BK113" s="3"/>
      <c r="BL113" s="3"/>
      <c r="BM113" s="3"/>
      <c r="BN113" s="3"/>
      <c r="BO113" s="3"/>
      <c r="BP113" s="3"/>
    </row>
    <row r="114" spans="1:76" ht="21">
      <c r="A114" s="53"/>
      <c r="B114" s="54">
        <v>46204</v>
      </c>
      <c r="C114" s="54">
        <v>46205</v>
      </c>
      <c r="D114" s="54">
        <v>46206</v>
      </c>
      <c r="E114" s="54">
        <v>46207</v>
      </c>
      <c r="F114" s="54">
        <v>46208</v>
      </c>
      <c r="G114" s="54">
        <v>46209</v>
      </c>
      <c r="H114" s="54">
        <v>46210</v>
      </c>
      <c r="I114" s="54">
        <v>46211</v>
      </c>
      <c r="J114" s="54">
        <v>46212</v>
      </c>
      <c r="K114" s="54">
        <v>46213</v>
      </c>
      <c r="L114" s="54">
        <v>46214</v>
      </c>
      <c r="M114" s="54">
        <v>46215</v>
      </c>
      <c r="N114" s="54">
        <v>46216</v>
      </c>
      <c r="O114" s="54">
        <v>46217</v>
      </c>
      <c r="P114" s="54">
        <v>46218</v>
      </c>
      <c r="Q114" s="54">
        <v>46219</v>
      </c>
      <c r="R114" s="54">
        <v>46220</v>
      </c>
      <c r="S114" s="54">
        <v>46221</v>
      </c>
      <c r="T114" s="54">
        <v>46222</v>
      </c>
      <c r="U114" s="54">
        <v>46223</v>
      </c>
      <c r="V114" s="54">
        <v>46224</v>
      </c>
      <c r="W114" s="54">
        <v>46225</v>
      </c>
      <c r="X114" s="54">
        <v>46226</v>
      </c>
      <c r="Y114" s="54">
        <v>46227</v>
      </c>
      <c r="Z114" s="54">
        <v>46228</v>
      </c>
      <c r="AA114" s="54">
        <v>46229</v>
      </c>
      <c r="AB114" s="54">
        <v>46230</v>
      </c>
      <c r="AC114" s="54">
        <v>46231</v>
      </c>
      <c r="AD114" s="54">
        <v>46232</v>
      </c>
      <c r="AE114" s="54">
        <v>46233</v>
      </c>
      <c r="AF114" s="54">
        <v>46234</v>
      </c>
      <c r="AG114" s="61" t="s">
        <v>2</v>
      </c>
      <c r="AH114" s="61" t="s">
        <v>3</v>
      </c>
      <c r="AI114" s="62" t="s">
        <v>304</v>
      </c>
    </row>
    <row r="115" spans="1:76" ht="21">
      <c r="A115" s="55" t="s">
        <v>56</v>
      </c>
      <c r="B115" s="56">
        <v>23</v>
      </c>
      <c r="C115" s="56">
        <v>16</v>
      </c>
      <c r="D115" s="56">
        <v>19</v>
      </c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63">
        <f>SUM(B115:AF115)</f>
        <v>58</v>
      </c>
      <c r="AH115" s="63"/>
      <c r="AI115" s="63">
        <f>AG115</f>
        <v>58</v>
      </c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2"/>
      <c r="BW115" s="122"/>
      <c r="BX115" s="123"/>
    </row>
    <row r="116" spans="1:76" ht="21">
      <c r="A116" s="55" t="s">
        <v>21</v>
      </c>
      <c r="B116" s="56">
        <v>11</v>
      </c>
      <c r="C116" s="56">
        <v>8</v>
      </c>
      <c r="D116" s="56">
        <v>10</v>
      </c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63">
        <f t="shared" ref="AG116:AG123" si="41">SUM(B116:AF116)</f>
        <v>29</v>
      </c>
      <c r="AH116" s="63"/>
      <c r="AI116" s="63">
        <f>AG116+AH118+AH119+AH120</f>
        <v>29</v>
      </c>
      <c r="BF116"/>
      <c r="BG116"/>
      <c r="BH116"/>
      <c r="BI116"/>
    </row>
    <row r="117" spans="1:76" ht="21">
      <c r="A117" s="55" t="s">
        <v>22</v>
      </c>
      <c r="B117" s="125">
        <v>11</v>
      </c>
      <c r="C117" s="125">
        <v>7</v>
      </c>
      <c r="D117" s="125">
        <v>9</v>
      </c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56"/>
      <c r="AG117" s="63">
        <f t="shared" si="41"/>
        <v>27</v>
      </c>
      <c r="AH117" s="63"/>
      <c r="AI117" s="63">
        <f>AG117+AH118+AH119+AH120</f>
        <v>27</v>
      </c>
    </row>
    <row r="118" spans="1:76" ht="21">
      <c r="A118" s="55" t="s">
        <v>23</v>
      </c>
      <c r="B118" s="125">
        <v>0</v>
      </c>
      <c r="C118" s="125">
        <v>1</v>
      </c>
      <c r="D118" s="125">
        <v>0</v>
      </c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56"/>
      <c r="AG118" s="63">
        <f t="shared" si="41"/>
        <v>1</v>
      </c>
      <c r="AH118" s="63"/>
      <c r="AI118" s="63">
        <f t="shared" ref="AI118:AI123" si="42">AG118-AH118</f>
        <v>1</v>
      </c>
    </row>
    <row r="119" spans="1:76" ht="21">
      <c r="A119" s="55" t="s">
        <v>24</v>
      </c>
      <c r="B119" s="125">
        <v>0</v>
      </c>
      <c r="C119" s="125">
        <v>0</v>
      </c>
      <c r="D119" s="125">
        <v>0</v>
      </c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56"/>
      <c r="AG119" s="63">
        <f t="shared" si="41"/>
        <v>0</v>
      </c>
      <c r="AH119" s="63"/>
      <c r="AI119" s="63">
        <f t="shared" si="42"/>
        <v>0</v>
      </c>
    </row>
    <row r="120" spans="1:76" ht="21">
      <c r="A120" s="55" t="s">
        <v>26</v>
      </c>
      <c r="B120" s="125">
        <v>0</v>
      </c>
      <c r="C120" s="125">
        <v>0</v>
      </c>
      <c r="D120" s="125">
        <v>1</v>
      </c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56"/>
      <c r="AG120" s="63">
        <f t="shared" si="41"/>
        <v>1</v>
      </c>
      <c r="AH120" s="63"/>
      <c r="AI120" s="63">
        <f t="shared" si="42"/>
        <v>1</v>
      </c>
    </row>
    <row r="121" spans="1:76" ht="21">
      <c r="A121" s="55" t="s">
        <v>28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63">
        <f t="shared" si="41"/>
        <v>0</v>
      </c>
      <c r="AH121" s="70"/>
      <c r="AI121" s="63">
        <f t="shared" si="42"/>
        <v>0</v>
      </c>
    </row>
    <row r="122" spans="1:76" ht="21">
      <c r="A122" s="55" t="s">
        <v>29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63">
        <f t="shared" si="41"/>
        <v>0</v>
      </c>
      <c r="AH122" s="71"/>
      <c r="AI122" s="63">
        <f t="shared" si="42"/>
        <v>0</v>
      </c>
    </row>
    <row r="123" spans="1:76" ht="21">
      <c r="A123" s="56" t="s">
        <v>31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63">
        <f t="shared" si="41"/>
        <v>0</v>
      </c>
      <c r="AH123" s="63"/>
      <c r="AI123" s="63">
        <f t="shared" si="42"/>
        <v>0</v>
      </c>
      <c r="AK123">
        <v>16</v>
      </c>
    </row>
    <row r="133" spans="7:7">
      <c r="G133" s="205" t="s">
        <v>458</v>
      </c>
    </row>
    <row r="134" spans="7:7">
      <c r="G134" s="205" t="s">
        <v>459</v>
      </c>
    </row>
    <row r="135" spans="7:7">
      <c r="G135" s="205" t="s">
        <v>460</v>
      </c>
    </row>
    <row r="136" spans="7:7">
      <c r="G136" s="205" t="s">
        <v>461</v>
      </c>
    </row>
  </sheetData>
  <mergeCells count="19">
    <mergeCell ref="A34:AG34"/>
    <mergeCell ref="A1:AG1"/>
    <mergeCell ref="AK1:AW2"/>
    <mergeCell ref="AY1:BC2"/>
    <mergeCell ref="BF1:BI2"/>
    <mergeCell ref="A12:AG12"/>
    <mergeCell ref="AK14:AW15"/>
    <mergeCell ref="AK16:AW17"/>
    <mergeCell ref="A23:AG23"/>
    <mergeCell ref="AZ27:BA27"/>
    <mergeCell ref="AZ28:BA28"/>
    <mergeCell ref="AZ29:BA29"/>
    <mergeCell ref="A113:AG113"/>
    <mergeCell ref="A45:AG45"/>
    <mergeCell ref="A56:AG56"/>
    <mergeCell ref="A67:AG67"/>
    <mergeCell ref="A78:AG78"/>
    <mergeCell ref="A89:AG89"/>
    <mergeCell ref="A100:AG100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997E-D924-44E3-9EA7-C308812C1BB5}">
  <dimension ref="A1:M198"/>
  <sheetViews>
    <sheetView showGridLines="0" topLeftCell="A11" zoomScale="70" zoomScaleNormal="70" workbookViewId="0">
      <selection activeCell="P24" sqref="P24"/>
    </sheetView>
  </sheetViews>
  <sheetFormatPr baseColWidth="10" defaultRowHeight="15"/>
  <cols>
    <col min="1" max="1" width="25.7109375" bestFit="1" customWidth="1"/>
    <col min="2" max="2" width="25.28515625" bestFit="1" customWidth="1"/>
    <col min="3" max="3" width="29.42578125" customWidth="1"/>
    <col min="4" max="4" width="11.7109375" customWidth="1"/>
    <col min="5" max="5" width="15" bestFit="1" customWidth="1"/>
    <col min="6" max="6" width="11.7109375" customWidth="1"/>
    <col min="7" max="7" width="17" bestFit="1" customWidth="1"/>
    <col min="8" max="8" width="21.5703125" bestFit="1" customWidth="1"/>
    <col min="9" max="9" width="18.5703125" bestFit="1" customWidth="1"/>
    <col min="10" max="10" width="19.7109375" bestFit="1" customWidth="1"/>
    <col min="11" max="11" width="15" bestFit="1" customWidth="1"/>
    <col min="12" max="12" width="13.42578125" bestFit="1" customWidth="1"/>
    <col min="13" max="13" width="11.7109375" customWidth="1"/>
  </cols>
  <sheetData>
    <row r="1" spans="1:13" s="16" customFormat="1" ht="26.45" customHeight="1">
      <c r="A1" s="290" t="s">
        <v>491</v>
      </c>
      <c r="B1" s="291"/>
      <c r="C1" s="292"/>
      <c r="D1" s="211" t="s">
        <v>463</v>
      </c>
      <c r="E1" s="211" t="s">
        <v>464</v>
      </c>
      <c r="F1" s="211" t="s">
        <v>465</v>
      </c>
      <c r="G1" s="211" t="s">
        <v>466</v>
      </c>
      <c r="H1" s="211" t="s">
        <v>467</v>
      </c>
      <c r="I1" s="211" t="s">
        <v>468</v>
      </c>
      <c r="J1" s="211" t="s">
        <v>481</v>
      </c>
      <c r="K1" s="211" t="s">
        <v>470</v>
      </c>
      <c r="L1" s="211" t="s">
        <v>487</v>
      </c>
      <c r="M1" s="211" t="s">
        <v>488</v>
      </c>
    </row>
    <row r="2" spans="1:13">
      <c r="A2" s="288" t="s">
        <v>492</v>
      </c>
      <c r="B2" s="288"/>
      <c r="C2" s="288"/>
      <c r="D2" s="212">
        <v>4.7</v>
      </c>
      <c r="E2" s="212">
        <v>4.3</v>
      </c>
      <c r="F2" s="212">
        <v>5</v>
      </c>
      <c r="G2" s="212">
        <v>5</v>
      </c>
      <c r="H2" s="212">
        <v>4.5</v>
      </c>
      <c r="I2" s="212">
        <v>4.7</v>
      </c>
      <c r="J2" s="212">
        <v>2.7</v>
      </c>
      <c r="K2" s="212">
        <v>3</v>
      </c>
      <c r="L2" s="212">
        <v>4.5999999999999996</v>
      </c>
      <c r="M2" s="212">
        <v>4.3</v>
      </c>
    </row>
    <row r="3" spans="1:13">
      <c r="A3" s="288" t="s">
        <v>493</v>
      </c>
      <c r="B3" s="288"/>
      <c r="C3" s="288"/>
      <c r="D3" s="212">
        <v>4.9000000000000004</v>
      </c>
      <c r="E3" s="212">
        <v>4.3</v>
      </c>
      <c r="F3" s="212">
        <v>5</v>
      </c>
      <c r="G3" s="212">
        <v>5</v>
      </c>
      <c r="H3" s="212">
        <v>4.5</v>
      </c>
      <c r="I3" s="212">
        <v>4.8</v>
      </c>
      <c r="J3" s="212">
        <v>4.7</v>
      </c>
      <c r="K3" s="212">
        <v>3</v>
      </c>
      <c r="L3" s="212">
        <v>4.8</v>
      </c>
      <c r="M3" s="212">
        <v>4.4000000000000004</v>
      </c>
    </row>
    <row r="4" spans="1:13">
      <c r="A4" s="288" t="s">
        <v>494</v>
      </c>
      <c r="B4" s="288"/>
      <c r="C4" s="288"/>
      <c r="D4" s="212">
        <v>4.9000000000000004</v>
      </c>
      <c r="E4" s="212">
        <v>4.5999999999999996</v>
      </c>
      <c r="F4" s="212">
        <v>5</v>
      </c>
      <c r="G4" s="212">
        <v>4.7</v>
      </c>
      <c r="H4" s="212">
        <v>4.2</v>
      </c>
      <c r="I4" s="212">
        <v>4.5999999999999996</v>
      </c>
      <c r="J4" s="212">
        <v>2.7</v>
      </c>
      <c r="K4" s="212">
        <v>3</v>
      </c>
      <c r="L4" s="212">
        <v>4.7</v>
      </c>
      <c r="M4" s="212">
        <v>4.5</v>
      </c>
    </row>
    <row r="5" spans="1:13">
      <c r="A5" s="288" t="s">
        <v>476</v>
      </c>
      <c r="B5" s="288"/>
      <c r="C5" s="288"/>
      <c r="D5" s="212">
        <v>4.5999999999999996</v>
      </c>
      <c r="E5" s="212">
        <v>4.5999999999999996</v>
      </c>
      <c r="F5" s="212">
        <v>5</v>
      </c>
      <c r="G5" s="212">
        <v>4.8</v>
      </c>
      <c r="H5" s="212">
        <v>4.2</v>
      </c>
      <c r="I5" s="212">
        <v>4.3</v>
      </c>
      <c r="J5" s="212">
        <v>4.0999999999999996</v>
      </c>
      <c r="K5" s="212">
        <v>0</v>
      </c>
      <c r="L5" s="212">
        <v>4.8</v>
      </c>
      <c r="M5" s="212">
        <v>4.5</v>
      </c>
    </row>
    <row r="6" spans="1:13">
      <c r="A6" s="285" t="s">
        <v>490</v>
      </c>
      <c r="B6" s="286"/>
      <c r="C6" s="287"/>
      <c r="D6" s="212">
        <v>269</v>
      </c>
      <c r="E6" s="212">
        <v>334</v>
      </c>
      <c r="F6" s="212">
        <v>363</v>
      </c>
      <c r="G6" s="212">
        <v>558</v>
      </c>
      <c r="H6" s="212">
        <v>513</v>
      </c>
      <c r="I6" s="212">
        <v>226</v>
      </c>
      <c r="J6" s="212">
        <v>158</v>
      </c>
      <c r="K6" s="212">
        <v>0</v>
      </c>
      <c r="L6" s="212">
        <v>217</v>
      </c>
      <c r="M6" s="212">
        <v>179</v>
      </c>
    </row>
    <row r="7" spans="1:13">
      <c r="A7" s="288" t="s">
        <v>495</v>
      </c>
      <c r="B7" s="288"/>
      <c r="C7" s="288"/>
      <c r="D7" s="212">
        <v>75</v>
      </c>
      <c r="E7" s="212">
        <v>13</v>
      </c>
      <c r="F7" s="212">
        <v>38</v>
      </c>
      <c r="G7" s="212">
        <v>55</v>
      </c>
      <c r="H7" s="212">
        <v>61</v>
      </c>
      <c r="I7" s="212">
        <v>41</v>
      </c>
      <c r="J7" s="212">
        <v>7</v>
      </c>
      <c r="K7" s="212">
        <v>14</v>
      </c>
      <c r="L7" s="212">
        <v>75</v>
      </c>
      <c r="M7" s="212">
        <v>56</v>
      </c>
    </row>
    <row r="8" spans="1:13">
      <c r="A8" s="288" t="s">
        <v>496</v>
      </c>
      <c r="B8" s="288"/>
      <c r="C8" s="288"/>
      <c r="D8" s="212">
        <v>26</v>
      </c>
      <c r="E8" s="212">
        <v>4</v>
      </c>
      <c r="F8" s="212">
        <v>15</v>
      </c>
      <c r="G8" s="212">
        <v>15</v>
      </c>
      <c r="H8" s="212">
        <v>31</v>
      </c>
      <c r="I8" s="212">
        <v>29</v>
      </c>
      <c r="J8" s="212">
        <v>5</v>
      </c>
      <c r="K8" s="212">
        <v>3</v>
      </c>
      <c r="L8" s="212">
        <v>46</v>
      </c>
      <c r="M8" s="212">
        <v>37</v>
      </c>
    </row>
    <row r="10" spans="1:13" s="16" customFormat="1" ht="18.75">
      <c r="A10" s="289" t="s">
        <v>497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</row>
    <row r="12" spans="1:13" s="205" customFormat="1">
      <c r="A12" s="283" t="s">
        <v>597</v>
      </c>
      <c r="B12" s="284"/>
      <c r="C12" s="284"/>
      <c r="D12" s="284"/>
      <c r="E12" s="284"/>
      <c r="F12" s="284"/>
      <c r="G12" s="284" t="s">
        <v>598</v>
      </c>
      <c r="H12" s="284"/>
      <c r="I12" s="284"/>
      <c r="J12" s="284"/>
      <c r="K12" s="284"/>
      <c r="L12" s="284"/>
      <c r="M12" s="284"/>
    </row>
    <row r="13" spans="1:13" s="218" customFormat="1" ht="15.75">
      <c r="A13" s="216"/>
      <c r="B13" s="217"/>
      <c r="C13" s="217"/>
      <c r="D13" s="217"/>
      <c r="E13" s="217"/>
      <c r="F13" s="219"/>
      <c r="G13" s="216"/>
      <c r="H13" s="217"/>
      <c r="I13" s="217"/>
      <c r="J13" s="217"/>
      <c r="K13" s="217"/>
      <c r="L13" s="217"/>
      <c r="M13" s="219"/>
    </row>
    <row r="14" spans="1:13">
      <c r="A14" s="47" t="s">
        <v>510</v>
      </c>
      <c r="B14" s="3" t="s">
        <v>498</v>
      </c>
      <c r="C14" s="3" t="s">
        <v>511</v>
      </c>
      <c r="D14" s="3" t="s">
        <v>512</v>
      </c>
      <c r="E14" s="3" t="s">
        <v>513</v>
      </c>
      <c r="F14" s="220"/>
      <c r="G14" s="47" t="s">
        <v>510</v>
      </c>
      <c r="H14" s="3" t="s">
        <v>498</v>
      </c>
      <c r="I14" s="3" t="s">
        <v>511</v>
      </c>
      <c r="J14" s="3" t="s">
        <v>512</v>
      </c>
      <c r="K14" s="3" t="s">
        <v>513</v>
      </c>
      <c r="L14" s="3"/>
      <c r="M14" s="223"/>
    </row>
    <row r="15" spans="1:13">
      <c r="A15" s="47">
        <v>10</v>
      </c>
      <c r="B15" s="3" t="s">
        <v>508</v>
      </c>
      <c r="C15" s="3" t="s">
        <v>534</v>
      </c>
      <c r="D15" s="3">
        <v>30</v>
      </c>
      <c r="E15" s="3" t="s">
        <v>535</v>
      </c>
      <c r="F15" s="221"/>
      <c r="G15" s="47">
        <v>2</v>
      </c>
      <c r="H15" s="3" t="s">
        <v>508</v>
      </c>
      <c r="I15" s="3" t="s">
        <v>538</v>
      </c>
      <c r="J15" s="3">
        <v>14</v>
      </c>
      <c r="K15" s="3" t="s">
        <v>539</v>
      </c>
      <c r="L15" s="3"/>
      <c r="M15" s="223"/>
    </row>
    <row r="16" spans="1:13">
      <c r="A16" s="47">
        <v>2</v>
      </c>
      <c r="B16" s="3" t="s">
        <v>502</v>
      </c>
      <c r="C16" s="3" t="s">
        <v>516</v>
      </c>
      <c r="D16" s="3">
        <v>66</v>
      </c>
      <c r="E16" s="3" t="s">
        <v>517</v>
      </c>
      <c r="F16" s="221"/>
      <c r="G16" s="47">
        <v>5</v>
      </c>
      <c r="H16" s="3" t="s">
        <v>504</v>
      </c>
      <c r="I16" s="3" t="s">
        <v>544</v>
      </c>
      <c r="J16" s="3">
        <v>12</v>
      </c>
      <c r="K16" s="3" t="s">
        <v>545</v>
      </c>
      <c r="L16" s="3"/>
      <c r="M16" s="223"/>
    </row>
    <row r="17" spans="1:13">
      <c r="A17" s="47">
        <v>1</v>
      </c>
      <c r="B17" s="3" t="s">
        <v>501</v>
      </c>
      <c r="C17" s="3" t="s">
        <v>514</v>
      </c>
      <c r="D17" s="3">
        <v>74</v>
      </c>
      <c r="E17" s="3" t="s">
        <v>515</v>
      </c>
      <c r="F17" s="221"/>
      <c r="G17" s="47">
        <v>6</v>
      </c>
      <c r="H17" s="3" t="s">
        <v>521</v>
      </c>
      <c r="I17" s="3" t="s">
        <v>546</v>
      </c>
      <c r="J17" s="3">
        <v>12</v>
      </c>
      <c r="K17" s="3" t="s">
        <v>547</v>
      </c>
      <c r="L17" s="3"/>
      <c r="M17" s="223"/>
    </row>
    <row r="18" spans="1:13">
      <c r="A18" s="47">
        <v>8</v>
      </c>
      <c r="B18" s="3" t="s">
        <v>506</v>
      </c>
      <c r="C18" s="3" t="s">
        <v>530</v>
      </c>
      <c r="D18" s="3">
        <v>52</v>
      </c>
      <c r="E18" s="3" t="s">
        <v>531</v>
      </c>
      <c r="F18" s="221"/>
      <c r="G18" s="47">
        <v>1</v>
      </c>
      <c r="H18" s="3" t="s">
        <v>502</v>
      </c>
      <c r="I18" s="3" t="s">
        <v>536</v>
      </c>
      <c r="J18" s="3">
        <v>18</v>
      </c>
      <c r="K18" s="3" t="s">
        <v>537</v>
      </c>
      <c r="L18" s="3"/>
      <c r="M18" s="223"/>
    </row>
    <row r="19" spans="1:13">
      <c r="A19" s="47">
        <v>5</v>
      </c>
      <c r="B19" s="3" t="s">
        <v>503</v>
      </c>
      <c r="C19" s="3" t="s">
        <v>524</v>
      </c>
      <c r="D19" s="3">
        <v>68</v>
      </c>
      <c r="E19" s="3" t="s">
        <v>525</v>
      </c>
      <c r="F19" s="221"/>
      <c r="G19" s="47">
        <v>7</v>
      </c>
      <c r="H19" s="3" t="s">
        <v>503</v>
      </c>
      <c r="I19" s="3" t="s">
        <v>548</v>
      </c>
      <c r="J19" s="3">
        <v>11</v>
      </c>
      <c r="K19" s="3" t="s">
        <v>549</v>
      </c>
      <c r="L19" s="3"/>
      <c r="M19" s="223"/>
    </row>
    <row r="20" spans="1:13">
      <c r="A20" s="47">
        <v>3</v>
      </c>
      <c r="B20" s="3" t="s">
        <v>518</v>
      </c>
      <c r="C20" s="3" t="s">
        <v>519</v>
      </c>
      <c r="D20" s="3">
        <v>70</v>
      </c>
      <c r="E20" s="3" t="s">
        <v>520</v>
      </c>
      <c r="F20" s="221"/>
      <c r="G20" s="47">
        <v>9</v>
      </c>
      <c r="H20" s="3" t="s">
        <v>505</v>
      </c>
      <c r="I20" s="3" t="s">
        <v>553</v>
      </c>
      <c r="J20" s="3">
        <v>8</v>
      </c>
      <c r="K20" s="3" t="s">
        <v>554</v>
      </c>
      <c r="L20" s="3"/>
      <c r="M20" s="223"/>
    </row>
    <row r="21" spans="1:13">
      <c r="A21" s="47">
        <v>6</v>
      </c>
      <c r="B21" s="3" t="s">
        <v>504</v>
      </c>
      <c r="C21" s="3" t="s">
        <v>526</v>
      </c>
      <c r="D21" s="3">
        <v>60</v>
      </c>
      <c r="E21" s="3" t="s">
        <v>527</v>
      </c>
      <c r="F21" s="221"/>
      <c r="G21" s="47">
        <v>4</v>
      </c>
      <c r="H21" s="3" t="s">
        <v>518</v>
      </c>
      <c r="I21" s="3" t="s">
        <v>542</v>
      </c>
      <c r="J21" s="3">
        <v>16</v>
      </c>
      <c r="K21" s="3" t="s">
        <v>543</v>
      </c>
      <c r="L21" s="3"/>
      <c r="M21" s="223"/>
    </row>
    <row r="22" spans="1:13">
      <c r="A22" s="47">
        <v>9</v>
      </c>
      <c r="B22" s="3" t="s">
        <v>507</v>
      </c>
      <c r="C22" s="3" t="s">
        <v>532</v>
      </c>
      <c r="D22" s="3">
        <v>47</v>
      </c>
      <c r="E22" s="3" t="s">
        <v>533</v>
      </c>
      <c r="F22" s="221"/>
      <c r="G22" s="47">
        <v>3</v>
      </c>
      <c r="H22" s="3" t="s">
        <v>501</v>
      </c>
      <c r="I22" s="3" t="s">
        <v>540</v>
      </c>
      <c r="J22" s="3">
        <v>17</v>
      </c>
      <c r="K22" s="3" t="s">
        <v>541</v>
      </c>
      <c r="L22" s="3"/>
      <c r="M22" s="223"/>
    </row>
    <row r="23" spans="1:13">
      <c r="A23" s="47">
        <v>7</v>
      </c>
      <c r="B23" s="3" t="s">
        <v>505</v>
      </c>
      <c r="C23" s="3" t="s">
        <v>528</v>
      </c>
      <c r="D23" s="3">
        <v>57</v>
      </c>
      <c r="E23" s="3" t="s">
        <v>529</v>
      </c>
      <c r="F23" s="221"/>
      <c r="G23" s="47">
        <v>8</v>
      </c>
      <c r="H23" s="3" t="s">
        <v>550</v>
      </c>
      <c r="I23" s="3" t="s">
        <v>551</v>
      </c>
      <c r="J23" s="3">
        <v>10</v>
      </c>
      <c r="K23" s="3" t="s">
        <v>552</v>
      </c>
      <c r="L23" s="3"/>
      <c r="M23" s="223"/>
    </row>
    <row r="24" spans="1:13">
      <c r="A24" s="47">
        <v>4</v>
      </c>
      <c r="B24" s="3" t="s">
        <v>521</v>
      </c>
      <c r="C24" s="3" t="s">
        <v>522</v>
      </c>
      <c r="D24" s="3">
        <v>72</v>
      </c>
      <c r="E24" s="3" t="s">
        <v>523</v>
      </c>
      <c r="F24" s="221"/>
      <c r="G24" s="47">
        <v>10</v>
      </c>
      <c r="H24" s="3" t="s">
        <v>506</v>
      </c>
      <c r="I24" s="3" t="s">
        <v>555</v>
      </c>
      <c r="J24" s="3">
        <v>5</v>
      </c>
      <c r="K24" s="3" t="s">
        <v>556</v>
      </c>
      <c r="L24" s="3"/>
      <c r="M24" s="223"/>
    </row>
    <row r="25" spans="1:13">
      <c r="A25" s="222"/>
      <c r="F25" s="223"/>
      <c r="G25" s="222"/>
      <c r="M25" s="223"/>
    </row>
    <row r="26" spans="1:13" s="205" customFormat="1" ht="18">
      <c r="A26" s="224" t="s">
        <v>509</v>
      </c>
      <c r="B26" s="204"/>
      <c r="C26" s="204"/>
      <c r="D26" s="204"/>
      <c r="E26" s="204"/>
      <c r="F26" s="225"/>
      <c r="G26" s="224" t="s">
        <v>561</v>
      </c>
      <c r="H26" s="204"/>
      <c r="I26" s="204"/>
      <c r="J26" s="230"/>
      <c r="M26" s="225"/>
    </row>
    <row r="27" spans="1:13" s="204" customFormat="1">
      <c r="A27" s="226"/>
      <c r="F27" s="227"/>
      <c r="G27" s="226"/>
      <c r="J27" s="230"/>
      <c r="M27" s="227"/>
    </row>
    <row r="28" spans="1:13" s="204" customFormat="1">
      <c r="A28" s="226" t="s">
        <v>557</v>
      </c>
      <c r="F28" s="227"/>
      <c r="G28" s="226" t="s">
        <v>562</v>
      </c>
      <c r="M28" s="227"/>
    </row>
    <row r="29" spans="1:13" s="204" customFormat="1">
      <c r="A29" s="226" t="s">
        <v>803</v>
      </c>
      <c r="F29" s="227"/>
      <c r="G29" s="226" t="s">
        <v>563</v>
      </c>
      <c r="M29" s="227"/>
    </row>
    <row r="30" spans="1:13" s="204" customFormat="1">
      <c r="A30" s="226" t="s">
        <v>558</v>
      </c>
      <c r="F30" s="227"/>
      <c r="G30" s="226" t="s">
        <v>564</v>
      </c>
      <c r="M30" s="227"/>
    </row>
    <row r="31" spans="1:13" s="204" customFormat="1">
      <c r="A31" s="226" t="s">
        <v>559</v>
      </c>
      <c r="F31" s="227"/>
      <c r="G31" s="226" t="s">
        <v>565</v>
      </c>
      <c r="M31" s="227"/>
    </row>
    <row r="32" spans="1:13" s="204" customFormat="1">
      <c r="A32" s="226" t="s">
        <v>560</v>
      </c>
      <c r="F32" s="227"/>
      <c r="G32" s="226" t="s">
        <v>566</v>
      </c>
      <c r="M32" s="227"/>
    </row>
    <row r="33" spans="1:13" s="205" customFormat="1">
      <c r="A33" s="226"/>
      <c r="F33" s="225"/>
      <c r="G33" s="226"/>
      <c r="M33" s="225"/>
    </row>
    <row r="34" spans="1:13">
      <c r="A34" s="222"/>
      <c r="F34" s="223"/>
      <c r="G34" s="226"/>
      <c r="M34" s="223"/>
    </row>
    <row r="35" spans="1:13">
      <c r="A35" s="228"/>
      <c r="B35" s="229"/>
      <c r="C35" s="229"/>
      <c r="D35" s="229"/>
      <c r="E35" s="229"/>
      <c r="F35" s="175"/>
      <c r="G35" s="231"/>
      <c r="H35" s="229"/>
      <c r="I35" s="229"/>
      <c r="J35" s="229"/>
      <c r="K35" s="229"/>
      <c r="L35" s="229"/>
      <c r="M35" s="175"/>
    </row>
    <row r="36" spans="1:13">
      <c r="G36" s="215"/>
    </row>
    <row r="37" spans="1:13">
      <c r="A37" s="283" t="s">
        <v>599</v>
      </c>
      <c r="B37" s="284"/>
      <c r="C37" s="284"/>
      <c r="D37" s="284"/>
      <c r="E37" s="284"/>
      <c r="F37" s="284"/>
      <c r="G37" s="284" t="s">
        <v>600</v>
      </c>
      <c r="H37" s="284"/>
      <c r="I37" s="284"/>
      <c r="J37" s="284"/>
      <c r="K37" s="284"/>
      <c r="L37" s="284"/>
      <c r="M37" s="284"/>
    </row>
    <row r="38" spans="1:13" s="2" customFormat="1">
      <c r="A38" s="233"/>
      <c r="B38" s="209"/>
      <c r="C38" s="209"/>
      <c r="D38" s="209"/>
      <c r="E38" s="209"/>
      <c r="F38" s="234"/>
      <c r="G38" s="235"/>
      <c r="H38" s="209"/>
      <c r="I38" s="209"/>
      <c r="J38" s="209"/>
      <c r="K38" s="209"/>
      <c r="L38" s="209"/>
      <c r="M38" s="234"/>
    </row>
    <row r="39" spans="1:13">
      <c r="A39" s="47" t="s">
        <v>510</v>
      </c>
      <c r="B39" s="3" t="s">
        <v>498</v>
      </c>
      <c r="C39" s="3" t="s">
        <v>511</v>
      </c>
      <c r="D39" s="3" t="s">
        <v>512</v>
      </c>
      <c r="E39" s="3" t="s">
        <v>513</v>
      </c>
      <c r="F39" s="220"/>
      <c r="G39" s="47" t="s">
        <v>510</v>
      </c>
      <c r="H39" s="3" t="s">
        <v>498</v>
      </c>
      <c r="I39" s="3" t="s">
        <v>511</v>
      </c>
      <c r="J39" s="3" t="s">
        <v>512</v>
      </c>
      <c r="K39" s="3" t="s">
        <v>513</v>
      </c>
      <c r="L39" s="213"/>
      <c r="M39" s="48"/>
    </row>
    <row r="40" spans="1:13">
      <c r="A40" s="47">
        <v>3</v>
      </c>
      <c r="B40" s="3" t="s">
        <v>573</v>
      </c>
      <c r="C40" s="3" t="s">
        <v>574</v>
      </c>
      <c r="D40" s="3">
        <v>74</v>
      </c>
      <c r="E40" s="3" t="s">
        <v>575</v>
      </c>
      <c r="F40" s="221"/>
      <c r="G40" s="47">
        <v>1</v>
      </c>
      <c r="H40" s="3" t="s">
        <v>567</v>
      </c>
      <c r="I40" s="3" t="s">
        <v>586</v>
      </c>
      <c r="J40" s="3">
        <v>20</v>
      </c>
      <c r="K40" s="3" t="s">
        <v>587</v>
      </c>
      <c r="L40" s="214"/>
      <c r="M40" s="48"/>
    </row>
    <row r="41" spans="1:13">
      <c r="A41" s="47">
        <v>1</v>
      </c>
      <c r="B41" s="3" t="s">
        <v>567</v>
      </c>
      <c r="C41" s="3" t="s">
        <v>568</v>
      </c>
      <c r="D41" s="3">
        <v>133</v>
      </c>
      <c r="E41" s="3" t="s">
        <v>569</v>
      </c>
      <c r="F41" s="221"/>
      <c r="G41" s="47">
        <v>4</v>
      </c>
      <c r="H41" s="3" t="s">
        <v>570</v>
      </c>
      <c r="I41" s="3" t="s">
        <v>592</v>
      </c>
      <c r="J41" s="3">
        <v>13</v>
      </c>
      <c r="K41" s="3" t="s">
        <v>585</v>
      </c>
      <c r="L41" s="214"/>
      <c r="M41" s="48"/>
    </row>
    <row r="42" spans="1:13">
      <c r="A42" s="47">
        <v>6</v>
      </c>
      <c r="B42" s="3" t="s">
        <v>582</v>
      </c>
      <c r="C42" s="3" t="s">
        <v>583</v>
      </c>
      <c r="D42" s="3">
        <v>53</v>
      </c>
      <c r="E42" s="3" t="s">
        <v>584</v>
      </c>
      <c r="F42" s="221"/>
      <c r="G42" s="47">
        <v>2</v>
      </c>
      <c r="H42" s="3" t="s">
        <v>573</v>
      </c>
      <c r="I42" s="3" t="s">
        <v>588</v>
      </c>
      <c r="J42" s="3">
        <v>19</v>
      </c>
      <c r="K42" s="3" t="s">
        <v>589</v>
      </c>
      <c r="L42" s="214"/>
      <c r="M42" s="48"/>
    </row>
    <row r="43" spans="1:13">
      <c r="A43" s="47">
        <v>2</v>
      </c>
      <c r="B43" s="3" t="s">
        <v>570</v>
      </c>
      <c r="C43" s="3" t="s">
        <v>571</v>
      </c>
      <c r="D43" s="3">
        <v>86</v>
      </c>
      <c r="E43" s="3" t="s">
        <v>572</v>
      </c>
      <c r="F43" s="221"/>
      <c r="G43" s="47">
        <v>5</v>
      </c>
      <c r="H43" s="3" t="s">
        <v>582</v>
      </c>
      <c r="I43" s="3" t="s">
        <v>593</v>
      </c>
      <c r="J43" s="3">
        <v>16</v>
      </c>
      <c r="K43" s="3" t="s">
        <v>594</v>
      </c>
      <c r="L43" s="214"/>
      <c r="M43" s="48"/>
    </row>
    <row r="44" spans="1:13">
      <c r="A44" s="47">
        <v>5</v>
      </c>
      <c r="B44" s="3" t="s">
        <v>579</v>
      </c>
      <c r="C44" s="3" t="s">
        <v>580</v>
      </c>
      <c r="D44" s="3">
        <v>83</v>
      </c>
      <c r="E44" s="3" t="s">
        <v>581</v>
      </c>
      <c r="F44" s="221"/>
      <c r="G44" s="47">
        <v>3</v>
      </c>
      <c r="H44" s="3" t="s">
        <v>579</v>
      </c>
      <c r="I44" s="3" t="s">
        <v>590</v>
      </c>
      <c r="J44" s="3">
        <v>21</v>
      </c>
      <c r="K44" s="3" t="s">
        <v>591</v>
      </c>
      <c r="L44" s="214"/>
      <c r="M44" s="48"/>
    </row>
    <row r="45" spans="1:13">
      <c r="A45" s="47">
        <v>4</v>
      </c>
      <c r="B45" s="3" t="s">
        <v>576</v>
      </c>
      <c r="C45" s="3" t="s">
        <v>577</v>
      </c>
      <c r="D45" s="3">
        <v>96</v>
      </c>
      <c r="E45" s="3" t="s">
        <v>578</v>
      </c>
      <c r="F45" s="221"/>
      <c r="G45" s="47">
        <v>6</v>
      </c>
      <c r="H45" s="3" t="s">
        <v>576</v>
      </c>
      <c r="I45" s="3" t="s">
        <v>595</v>
      </c>
      <c r="J45" s="3">
        <v>13</v>
      </c>
      <c r="K45" s="3" t="s">
        <v>596</v>
      </c>
      <c r="L45" s="214"/>
      <c r="M45" s="48"/>
    </row>
    <row r="46" spans="1:13">
      <c r="A46" s="47"/>
      <c r="B46" s="3"/>
      <c r="C46" s="3"/>
      <c r="D46" s="3"/>
      <c r="E46" s="3"/>
      <c r="F46" s="221"/>
      <c r="G46" s="47"/>
      <c r="H46" s="3"/>
      <c r="I46" s="3"/>
      <c r="J46" s="3"/>
      <c r="K46" s="3"/>
      <c r="L46" s="214"/>
      <c r="M46" s="48"/>
    </row>
    <row r="47" spans="1:13" ht="18">
      <c r="A47" s="224" t="s">
        <v>561</v>
      </c>
      <c r="B47" s="204"/>
      <c r="C47" s="232"/>
      <c r="F47" s="223"/>
      <c r="G47" s="224" t="s">
        <v>561</v>
      </c>
      <c r="M47" s="223"/>
    </row>
    <row r="48" spans="1:13">
      <c r="A48" s="226"/>
      <c r="B48" s="204"/>
      <c r="C48" s="215"/>
      <c r="F48" s="223"/>
      <c r="G48" s="222"/>
      <c r="M48" s="223"/>
    </row>
    <row r="49" spans="1:13">
      <c r="A49" s="226" t="s">
        <v>601</v>
      </c>
      <c r="B49" s="204"/>
      <c r="C49" s="215"/>
      <c r="F49" s="223"/>
      <c r="G49" s="236" t="s">
        <v>606</v>
      </c>
      <c r="M49" s="223"/>
    </row>
    <row r="50" spans="1:13">
      <c r="A50" s="226" t="s">
        <v>602</v>
      </c>
      <c r="B50" s="204"/>
      <c r="C50" s="215"/>
      <c r="F50" s="223"/>
      <c r="G50" s="236" t="s">
        <v>607</v>
      </c>
      <c r="M50" s="223"/>
    </row>
    <row r="51" spans="1:13">
      <c r="A51" s="226" t="s">
        <v>603</v>
      </c>
      <c r="B51" s="204"/>
      <c r="C51" s="215"/>
      <c r="F51" s="223"/>
      <c r="G51" s="236" t="s">
        <v>608</v>
      </c>
      <c r="M51" s="223"/>
    </row>
    <row r="52" spans="1:13">
      <c r="A52" s="226" t="s">
        <v>604</v>
      </c>
      <c r="B52" s="204"/>
      <c r="C52" s="215"/>
      <c r="F52" s="223"/>
      <c r="G52" s="236" t="s">
        <v>609</v>
      </c>
      <c r="M52" s="223"/>
    </row>
    <row r="53" spans="1:13">
      <c r="A53" s="226" t="s">
        <v>605</v>
      </c>
      <c r="B53" s="204"/>
      <c r="C53" s="215"/>
      <c r="F53" s="223"/>
      <c r="G53" s="236" t="s">
        <v>610</v>
      </c>
      <c r="M53" s="223"/>
    </row>
    <row r="54" spans="1:13">
      <c r="A54" s="226"/>
      <c r="B54" s="205"/>
      <c r="C54" s="215"/>
      <c r="F54" s="223"/>
      <c r="G54" s="236"/>
      <c r="M54" s="223"/>
    </row>
    <row r="55" spans="1:13">
      <c r="A55" s="228"/>
      <c r="B55" s="229"/>
      <c r="C55" s="229"/>
      <c r="D55" s="229"/>
      <c r="E55" s="229"/>
      <c r="F55" s="175"/>
      <c r="G55" s="228"/>
      <c r="H55" s="229"/>
      <c r="I55" s="229"/>
      <c r="J55" s="229"/>
      <c r="K55" s="229"/>
      <c r="L55" s="229"/>
      <c r="M55" s="175"/>
    </row>
    <row r="57" spans="1:13">
      <c r="A57" s="283" t="s">
        <v>643</v>
      </c>
      <c r="B57" s="284"/>
      <c r="C57" s="284"/>
      <c r="D57" s="284"/>
      <c r="E57" s="284"/>
      <c r="F57" s="284"/>
      <c r="G57" s="284" t="s">
        <v>644</v>
      </c>
      <c r="H57" s="284"/>
      <c r="I57" s="284"/>
      <c r="J57" s="284"/>
      <c r="K57" s="284"/>
      <c r="L57" s="284"/>
      <c r="M57" s="284"/>
    </row>
    <row r="58" spans="1:13">
      <c r="A58" s="222"/>
      <c r="F58" s="223"/>
      <c r="G58" s="222"/>
      <c r="M58" s="223"/>
    </row>
    <row r="59" spans="1:13">
      <c r="A59" s="47" t="s">
        <v>510</v>
      </c>
      <c r="B59" s="3" t="s">
        <v>498</v>
      </c>
      <c r="C59" s="3" t="s">
        <v>511</v>
      </c>
      <c r="D59" s="3" t="s">
        <v>512</v>
      </c>
      <c r="E59" s="3" t="s">
        <v>513</v>
      </c>
      <c r="F59" s="48"/>
      <c r="G59" s="47" t="s">
        <v>510</v>
      </c>
      <c r="H59" s="3" t="s">
        <v>498</v>
      </c>
      <c r="I59" s="3" t="s">
        <v>511</v>
      </c>
      <c r="J59" s="3" t="s">
        <v>512</v>
      </c>
      <c r="K59" s="3" t="s">
        <v>513</v>
      </c>
      <c r="L59" s="3"/>
      <c r="M59" s="223"/>
    </row>
    <row r="60" spans="1:13">
      <c r="A60" s="47">
        <v>4</v>
      </c>
      <c r="B60" s="3" t="s">
        <v>508</v>
      </c>
      <c r="C60" s="3" t="s">
        <v>620</v>
      </c>
      <c r="D60" s="3">
        <v>51</v>
      </c>
      <c r="E60" s="3" t="s">
        <v>621</v>
      </c>
      <c r="F60" s="48"/>
      <c r="G60" s="47">
        <v>3</v>
      </c>
      <c r="H60" s="3" t="s">
        <v>617</v>
      </c>
      <c r="I60" s="3" t="s">
        <v>637</v>
      </c>
      <c r="J60" s="3">
        <v>14</v>
      </c>
      <c r="K60" s="3" t="s">
        <v>638</v>
      </c>
      <c r="L60" s="3"/>
      <c r="M60" s="223"/>
    </row>
    <row r="61" spans="1:13">
      <c r="A61" s="47">
        <v>1</v>
      </c>
      <c r="B61" s="3" t="s">
        <v>611</v>
      </c>
      <c r="C61" s="3" t="s">
        <v>612</v>
      </c>
      <c r="D61" s="3">
        <v>84</v>
      </c>
      <c r="E61" s="3" t="s">
        <v>613</v>
      </c>
      <c r="F61" s="48"/>
      <c r="G61" s="47">
        <v>1</v>
      </c>
      <c r="H61" s="3" t="s">
        <v>507</v>
      </c>
      <c r="I61" s="3" t="s">
        <v>633</v>
      </c>
      <c r="J61" s="3">
        <v>22</v>
      </c>
      <c r="K61" s="3" t="s">
        <v>634</v>
      </c>
      <c r="L61" s="3"/>
      <c r="M61" s="223"/>
    </row>
    <row r="62" spans="1:13">
      <c r="A62" s="47">
        <v>2</v>
      </c>
      <c r="B62" s="3" t="s">
        <v>614</v>
      </c>
      <c r="C62" s="3" t="s">
        <v>615</v>
      </c>
      <c r="D62" s="3">
        <v>68</v>
      </c>
      <c r="E62" s="3" t="s">
        <v>616</v>
      </c>
      <c r="F62" s="48"/>
      <c r="G62" s="47">
        <v>4</v>
      </c>
      <c r="H62" s="3" t="s">
        <v>614</v>
      </c>
      <c r="I62" s="3" t="s">
        <v>639</v>
      </c>
      <c r="J62" s="3">
        <v>12</v>
      </c>
      <c r="K62" s="3" t="s">
        <v>640</v>
      </c>
      <c r="L62" s="3"/>
      <c r="M62" s="223"/>
    </row>
    <row r="63" spans="1:13">
      <c r="A63" s="47">
        <v>3</v>
      </c>
      <c r="B63" s="3" t="s">
        <v>617</v>
      </c>
      <c r="C63" s="3" t="s">
        <v>618</v>
      </c>
      <c r="D63" s="3">
        <v>67</v>
      </c>
      <c r="E63" s="3" t="s">
        <v>619</v>
      </c>
      <c r="F63" s="48"/>
      <c r="G63" s="47">
        <v>5</v>
      </c>
      <c r="H63" s="3" t="s">
        <v>625</v>
      </c>
      <c r="I63" s="3" t="s">
        <v>641</v>
      </c>
      <c r="J63" s="3">
        <v>5</v>
      </c>
      <c r="K63" s="3" t="s">
        <v>642</v>
      </c>
      <c r="L63" s="3"/>
      <c r="M63" s="223"/>
    </row>
    <row r="64" spans="1:13">
      <c r="A64" s="47">
        <v>5</v>
      </c>
      <c r="B64" s="3" t="s">
        <v>622</v>
      </c>
      <c r="C64" s="3" t="s">
        <v>623</v>
      </c>
      <c r="D64" s="3">
        <v>54</v>
      </c>
      <c r="E64" s="3" t="s">
        <v>624</v>
      </c>
      <c r="F64" s="48"/>
      <c r="G64" s="47">
        <v>2</v>
      </c>
      <c r="H64" s="3" t="s">
        <v>611</v>
      </c>
      <c r="I64" s="3" t="s">
        <v>635</v>
      </c>
      <c r="J64" s="3">
        <v>22</v>
      </c>
      <c r="K64" s="3" t="s">
        <v>636</v>
      </c>
      <c r="L64" s="3"/>
      <c r="M64" s="223"/>
    </row>
    <row r="65" spans="1:13">
      <c r="A65" s="47">
        <v>6</v>
      </c>
      <c r="B65" s="3" t="s">
        <v>625</v>
      </c>
      <c r="C65" s="3" t="s">
        <v>626</v>
      </c>
      <c r="D65" s="3">
        <v>21</v>
      </c>
      <c r="E65" s="3" t="s">
        <v>627</v>
      </c>
      <c r="F65" s="48"/>
      <c r="G65" s="47"/>
      <c r="H65" s="3"/>
      <c r="I65" s="3"/>
      <c r="J65" s="3"/>
      <c r="K65" s="3"/>
      <c r="L65" s="3"/>
      <c r="M65" s="223"/>
    </row>
    <row r="66" spans="1:13">
      <c r="A66" s="47">
        <v>7</v>
      </c>
      <c r="B66" s="3" t="s">
        <v>507</v>
      </c>
      <c r="C66" s="3" t="s">
        <v>628</v>
      </c>
      <c r="D66" s="3">
        <v>6</v>
      </c>
      <c r="E66" s="3" t="s">
        <v>629</v>
      </c>
      <c r="F66" s="48"/>
      <c r="G66" s="47"/>
      <c r="H66" s="3"/>
      <c r="I66" s="3"/>
      <c r="J66" s="3"/>
      <c r="K66" s="3"/>
      <c r="L66" s="3"/>
      <c r="M66" s="223"/>
    </row>
    <row r="67" spans="1:13">
      <c r="A67" s="47">
        <v>8</v>
      </c>
      <c r="B67" s="3" t="s">
        <v>630</v>
      </c>
      <c r="C67" s="3" t="s">
        <v>631</v>
      </c>
      <c r="D67" s="3">
        <v>6</v>
      </c>
      <c r="E67" s="3" t="s">
        <v>632</v>
      </c>
      <c r="F67" s="48"/>
      <c r="G67" s="222"/>
      <c r="M67" s="223"/>
    </row>
    <row r="68" spans="1:13">
      <c r="A68" s="222"/>
      <c r="F68" s="223"/>
      <c r="G68" s="222"/>
      <c r="M68" s="223"/>
    </row>
    <row r="69" spans="1:13">
      <c r="A69" s="236" t="s">
        <v>561</v>
      </c>
      <c r="F69" s="223"/>
      <c r="G69" s="236" t="s">
        <v>561</v>
      </c>
      <c r="M69" s="223"/>
    </row>
    <row r="70" spans="1:13">
      <c r="A70" s="222"/>
      <c r="F70" s="223"/>
      <c r="G70" s="222"/>
      <c r="M70" s="223"/>
    </row>
    <row r="71" spans="1:13">
      <c r="A71" s="236" t="s">
        <v>645</v>
      </c>
      <c r="F71" s="223"/>
      <c r="G71" s="236" t="s">
        <v>650</v>
      </c>
      <c r="M71" s="223"/>
    </row>
    <row r="72" spans="1:13">
      <c r="A72" s="236" t="s">
        <v>646</v>
      </c>
      <c r="F72" s="223"/>
      <c r="G72" s="236" t="s">
        <v>651</v>
      </c>
      <c r="M72" s="223"/>
    </row>
    <row r="73" spans="1:13">
      <c r="A73" s="236" t="s">
        <v>647</v>
      </c>
      <c r="F73" s="223"/>
      <c r="G73" s="236" t="s">
        <v>652</v>
      </c>
      <c r="M73" s="223"/>
    </row>
    <row r="74" spans="1:13">
      <c r="A74" s="236" t="s">
        <v>648</v>
      </c>
      <c r="F74" s="223"/>
      <c r="G74" s="236" t="s">
        <v>653</v>
      </c>
      <c r="M74" s="223"/>
    </row>
    <row r="75" spans="1:13">
      <c r="A75" s="236" t="s">
        <v>649</v>
      </c>
      <c r="F75" s="223"/>
      <c r="G75" s="236" t="s">
        <v>654</v>
      </c>
      <c r="M75" s="223"/>
    </row>
    <row r="76" spans="1:13">
      <c r="A76" s="236"/>
      <c r="F76" s="223"/>
      <c r="G76" s="236"/>
      <c r="M76" s="223"/>
    </row>
    <row r="78" spans="1:13">
      <c r="A78" s="283" t="s">
        <v>691</v>
      </c>
      <c r="B78" s="284"/>
      <c r="C78" s="284"/>
      <c r="D78" s="284"/>
      <c r="E78" s="284"/>
      <c r="F78" s="284"/>
      <c r="G78" s="284" t="s">
        <v>692</v>
      </c>
      <c r="H78" s="284"/>
      <c r="I78" s="284"/>
      <c r="J78" s="284"/>
      <c r="K78" s="284"/>
      <c r="L78" s="284"/>
      <c r="M78" s="284"/>
    </row>
    <row r="79" spans="1:13">
      <c r="A79" s="222"/>
      <c r="F79" s="223"/>
      <c r="G79" s="222"/>
      <c r="M79" s="223"/>
    </row>
    <row r="80" spans="1:13">
      <c r="A80" s="47" t="s">
        <v>510</v>
      </c>
      <c r="B80" s="3" t="s">
        <v>498</v>
      </c>
      <c r="C80" s="3" t="s">
        <v>511</v>
      </c>
      <c r="D80" s="3" t="s">
        <v>512</v>
      </c>
      <c r="E80" s="3" t="s">
        <v>513</v>
      </c>
      <c r="F80" s="223"/>
      <c r="G80" s="47" t="s">
        <v>510</v>
      </c>
      <c r="H80" s="3" t="s">
        <v>498</v>
      </c>
      <c r="I80" s="3" t="s">
        <v>511</v>
      </c>
      <c r="J80" s="3" t="s">
        <v>512</v>
      </c>
      <c r="K80" s="3" t="s">
        <v>513</v>
      </c>
      <c r="M80" s="223"/>
    </row>
    <row r="81" spans="1:13">
      <c r="A81" s="47">
        <v>1</v>
      </c>
      <c r="B81" s="3" t="s">
        <v>674</v>
      </c>
      <c r="C81" s="3" t="s">
        <v>655</v>
      </c>
      <c r="D81" s="3">
        <v>81</v>
      </c>
      <c r="E81" s="3" t="s">
        <v>656</v>
      </c>
      <c r="F81" s="223"/>
      <c r="G81" s="47">
        <v>1</v>
      </c>
      <c r="H81" s="3" t="s">
        <v>690</v>
      </c>
      <c r="I81" s="3" t="s">
        <v>676</v>
      </c>
      <c r="J81" s="3">
        <v>16</v>
      </c>
      <c r="K81" s="3" t="s">
        <v>677</v>
      </c>
      <c r="M81" s="223"/>
    </row>
    <row r="82" spans="1:13">
      <c r="A82" s="47">
        <v>2</v>
      </c>
      <c r="B82" s="3" t="s">
        <v>657</v>
      </c>
      <c r="C82" s="3" t="s">
        <v>658</v>
      </c>
      <c r="D82" s="3">
        <v>84</v>
      </c>
      <c r="E82" s="3" t="s">
        <v>659</v>
      </c>
      <c r="F82" s="223"/>
      <c r="G82" s="47">
        <v>2</v>
      </c>
      <c r="H82" s="3" t="s">
        <v>688</v>
      </c>
      <c r="I82" s="3" t="s">
        <v>678</v>
      </c>
      <c r="J82" s="3">
        <v>16</v>
      </c>
      <c r="K82" s="3" t="s">
        <v>679</v>
      </c>
      <c r="M82" s="223"/>
    </row>
    <row r="83" spans="1:13">
      <c r="A83" s="47">
        <v>3</v>
      </c>
      <c r="B83" s="3" t="s">
        <v>675</v>
      </c>
      <c r="C83" s="3" t="s">
        <v>660</v>
      </c>
      <c r="D83" s="3">
        <v>42</v>
      </c>
      <c r="E83" s="3" t="s">
        <v>661</v>
      </c>
      <c r="F83" s="223"/>
      <c r="G83" s="47">
        <v>3</v>
      </c>
      <c r="H83" s="3" t="s">
        <v>689</v>
      </c>
      <c r="I83" s="3" t="s">
        <v>680</v>
      </c>
      <c r="J83" s="3">
        <v>14</v>
      </c>
      <c r="K83" s="3" t="s">
        <v>681</v>
      </c>
      <c r="M83" s="223"/>
    </row>
    <row r="84" spans="1:13">
      <c r="A84" s="47">
        <v>4</v>
      </c>
      <c r="B84" s="3" t="s">
        <v>662</v>
      </c>
      <c r="C84" s="3" t="s">
        <v>663</v>
      </c>
      <c r="D84" s="3">
        <v>38</v>
      </c>
      <c r="E84" s="3" t="s">
        <v>664</v>
      </c>
      <c r="F84" s="223"/>
      <c r="G84" s="47">
        <v>4</v>
      </c>
      <c r="H84" s="3" t="s">
        <v>665</v>
      </c>
      <c r="I84" s="3" t="s">
        <v>682</v>
      </c>
      <c r="J84" s="3">
        <v>9</v>
      </c>
      <c r="K84" s="3" t="s">
        <v>683</v>
      </c>
      <c r="M84" s="223"/>
    </row>
    <row r="85" spans="1:13">
      <c r="A85" s="47">
        <v>5</v>
      </c>
      <c r="B85" s="3" t="s">
        <v>665</v>
      </c>
      <c r="C85" s="3" t="s">
        <v>666</v>
      </c>
      <c r="D85" s="3">
        <v>18</v>
      </c>
      <c r="E85" s="3" t="s">
        <v>667</v>
      </c>
      <c r="F85" s="223"/>
      <c r="G85" s="47">
        <v>5</v>
      </c>
      <c r="H85" s="3" t="s">
        <v>671</v>
      </c>
      <c r="I85" s="3" t="s">
        <v>684</v>
      </c>
      <c r="J85" s="3">
        <v>6</v>
      </c>
      <c r="K85" s="3" t="s">
        <v>685</v>
      </c>
      <c r="M85" s="223"/>
    </row>
    <row r="86" spans="1:13">
      <c r="A86" s="47">
        <v>6</v>
      </c>
      <c r="B86" s="3" t="s">
        <v>668</v>
      </c>
      <c r="C86" s="3" t="s">
        <v>669</v>
      </c>
      <c r="D86" s="3">
        <v>16</v>
      </c>
      <c r="E86" s="3" t="s">
        <v>670</v>
      </c>
      <c r="F86" s="223"/>
      <c r="G86" s="47">
        <v>6</v>
      </c>
      <c r="H86" s="3" t="s">
        <v>668</v>
      </c>
      <c r="I86" s="3" t="s">
        <v>686</v>
      </c>
      <c r="J86" s="3">
        <v>2</v>
      </c>
      <c r="K86" s="3" t="s">
        <v>687</v>
      </c>
      <c r="M86" s="223"/>
    </row>
    <row r="87" spans="1:13">
      <c r="A87" s="47">
        <v>7</v>
      </c>
      <c r="B87" s="3" t="s">
        <v>671</v>
      </c>
      <c r="C87" s="3" t="s">
        <v>672</v>
      </c>
      <c r="D87" s="3">
        <v>7</v>
      </c>
      <c r="E87" s="3" t="s">
        <v>673</v>
      </c>
      <c r="F87" s="223"/>
      <c r="G87" s="222"/>
      <c r="M87" s="223"/>
    </row>
    <row r="88" spans="1:13">
      <c r="A88" s="237"/>
      <c r="B88" s="238"/>
      <c r="C88" s="238"/>
      <c r="D88" s="238"/>
      <c r="E88" s="238"/>
      <c r="F88" s="223"/>
      <c r="G88" s="222"/>
      <c r="M88" s="223"/>
    </row>
    <row r="89" spans="1:13">
      <c r="A89" s="236" t="s">
        <v>561</v>
      </c>
      <c r="F89" s="223"/>
      <c r="G89" s="236" t="s">
        <v>561</v>
      </c>
      <c r="M89" s="223"/>
    </row>
    <row r="90" spans="1:13">
      <c r="A90" s="222"/>
      <c r="F90" s="223"/>
      <c r="G90" s="222"/>
      <c r="M90" s="223"/>
    </row>
    <row r="91" spans="1:13">
      <c r="A91" s="236" t="s">
        <v>693</v>
      </c>
      <c r="F91" s="223"/>
      <c r="G91" s="236" t="s">
        <v>698</v>
      </c>
      <c r="M91" s="223"/>
    </row>
    <row r="92" spans="1:13">
      <c r="A92" s="236" t="s">
        <v>694</v>
      </c>
      <c r="F92" s="223"/>
      <c r="G92" s="236" t="s">
        <v>699</v>
      </c>
      <c r="M92" s="223"/>
    </row>
    <row r="93" spans="1:13">
      <c r="A93" s="236" t="s">
        <v>695</v>
      </c>
      <c r="F93" s="223"/>
      <c r="G93" s="236" t="s">
        <v>700</v>
      </c>
      <c r="M93" s="223"/>
    </row>
    <row r="94" spans="1:13">
      <c r="A94" s="236" t="s">
        <v>696</v>
      </c>
      <c r="F94" s="223"/>
      <c r="G94" s="236" t="s">
        <v>701</v>
      </c>
      <c r="M94" s="223"/>
    </row>
    <row r="95" spans="1:13">
      <c r="A95" s="236" t="s">
        <v>697</v>
      </c>
      <c r="F95" s="223"/>
      <c r="G95" s="236" t="s">
        <v>702</v>
      </c>
      <c r="M95" s="223"/>
    </row>
    <row r="96" spans="1:13">
      <c r="A96" s="236"/>
      <c r="F96" s="223"/>
      <c r="G96" s="236"/>
      <c r="M96" s="223"/>
    </row>
    <row r="97" spans="1:13">
      <c r="A97" s="228"/>
      <c r="B97" s="229"/>
      <c r="C97" s="229"/>
      <c r="D97" s="229"/>
      <c r="E97" s="229"/>
      <c r="F97" s="175"/>
      <c r="G97" s="228"/>
      <c r="H97" s="229"/>
      <c r="I97" s="229"/>
      <c r="J97" s="229"/>
      <c r="K97" s="229"/>
      <c r="L97" s="229"/>
      <c r="M97" s="175"/>
    </row>
    <row r="99" spans="1:13">
      <c r="A99" s="283" t="s">
        <v>714</v>
      </c>
      <c r="B99" s="284"/>
      <c r="C99" s="284"/>
      <c r="D99" s="284"/>
      <c r="E99" s="284"/>
      <c r="F99" s="284"/>
      <c r="G99" s="284" t="s">
        <v>715</v>
      </c>
      <c r="H99" s="284"/>
      <c r="I99" s="284"/>
      <c r="J99" s="284"/>
      <c r="K99" s="284"/>
      <c r="L99" s="284"/>
      <c r="M99" s="284"/>
    </row>
    <row r="100" spans="1:13">
      <c r="A100" s="222"/>
      <c r="F100" s="223"/>
      <c r="G100" s="222"/>
      <c r="M100" s="223"/>
    </row>
    <row r="101" spans="1:13">
      <c r="A101" s="239" t="s">
        <v>510</v>
      </c>
      <c r="B101" s="240" t="s">
        <v>498</v>
      </c>
      <c r="C101" s="240" t="s">
        <v>511</v>
      </c>
      <c r="D101" s="240" t="s">
        <v>512</v>
      </c>
      <c r="E101" s="240" t="s">
        <v>513</v>
      </c>
      <c r="F101" s="241"/>
      <c r="G101" s="239" t="s">
        <v>510</v>
      </c>
      <c r="H101" s="240" t="s">
        <v>498</v>
      </c>
      <c r="I101" s="240" t="s">
        <v>511</v>
      </c>
      <c r="J101" s="240" t="s">
        <v>512</v>
      </c>
      <c r="K101" s="240" t="s">
        <v>513</v>
      </c>
      <c r="L101" s="3"/>
      <c r="M101" s="223"/>
    </row>
    <row r="102" spans="1:13">
      <c r="A102" s="239">
        <v>11</v>
      </c>
      <c r="B102" s="240" t="s">
        <v>713</v>
      </c>
      <c r="C102" s="242">
        <v>550000</v>
      </c>
      <c r="D102" s="240">
        <v>2</v>
      </c>
      <c r="E102" s="242">
        <v>275000</v>
      </c>
      <c r="F102" s="241"/>
      <c r="G102" s="239">
        <v>5</v>
      </c>
      <c r="H102" s="240" t="s">
        <v>710</v>
      </c>
      <c r="I102" s="242">
        <v>2250000</v>
      </c>
      <c r="J102" s="240">
        <v>8</v>
      </c>
      <c r="K102" s="242">
        <v>281250</v>
      </c>
      <c r="L102" s="3"/>
      <c r="M102" s="223"/>
    </row>
    <row r="103" spans="1:13">
      <c r="A103" s="239">
        <v>1</v>
      </c>
      <c r="B103" s="240" t="s">
        <v>703</v>
      </c>
      <c r="C103" s="242">
        <v>16680000</v>
      </c>
      <c r="D103" s="240">
        <v>64</v>
      </c>
      <c r="E103" s="242">
        <v>260625</v>
      </c>
      <c r="F103" s="241"/>
      <c r="G103" s="239">
        <v>3</v>
      </c>
      <c r="H103" s="240" t="s">
        <v>704</v>
      </c>
      <c r="I103" s="242">
        <v>3450000</v>
      </c>
      <c r="J103" s="240">
        <v>13</v>
      </c>
      <c r="K103" s="242">
        <v>265384.62</v>
      </c>
      <c r="L103" s="3"/>
      <c r="M103" s="223"/>
    </row>
    <row r="104" spans="1:13">
      <c r="A104" s="239">
        <v>9</v>
      </c>
      <c r="B104" s="240" t="s">
        <v>711</v>
      </c>
      <c r="C104" s="242">
        <v>7430000</v>
      </c>
      <c r="D104" s="240">
        <v>29</v>
      </c>
      <c r="E104" s="242">
        <v>256206.9</v>
      </c>
      <c r="F104" s="241"/>
      <c r="G104" s="239">
        <v>8</v>
      </c>
      <c r="H104" s="240" t="s">
        <v>711</v>
      </c>
      <c r="I104" s="242">
        <v>1950000</v>
      </c>
      <c r="J104" s="240">
        <v>8</v>
      </c>
      <c r="K104" s="242">
        <v>243750</v>
      </c>
      <c r="L104" s="3"/>
      <c r="M104" s="223"/>
    </row>
    <row r="105" spans="1:13">
      <c r="A105" s="239">
        <v>8</v>
      </c>
      <c r="B105" s="240" t="s">
        <v>710</v>
      </c>
      <c r="C105" s="242">
        <v>8159000</v>
      </c>
      <c r="D105" s="240">
        <v>36</v>
      </c>
      <c r="E105" s="242">
        <v>226638.89</v>
      </c>
      <c r="F105" s="241"/>
      <c r="G105" s="239">
        <v>7</v>
      </c>
      <c r="H105" s="240" t="s">
        <v>705</v>
      </c>
      <c r="I105" s="242">
        <v>2150000</v>
      </c>
      <c r="J105" s="240">
        <v>9</v>
      </c>
      <c r="K105" s="242">
        <v>238888.89</v>
      </c>
      <c r="L105" s="3"/>
      <c r="M105" s="223"/>
    </row>
    <row r="106" spans="1:13">
      <c r="A106" s="239">
        <v>4</v>
      </c>
      <c r="B106" s="240" t="s">
        <v>706</v>
      </c>
      <c r="C106" s="242">
        <v>12010000</v>
      </c>
      <c r="D106" s="240">
        <v>53</v>
      </c>
      <c r="E106" s="242">
        <v>226603.77</v>
      </c>
      <c r="F106" s="241"/>
      <c r="G106" s="239">
        <v>1</v>
      </c>
      <c r="H106" s="240" t="s">
        <v>703</v>
      </c>
      <c r="I106" s="242">
        <v>4770000</v>
      </c>
      <c r="J106" s="240">
        <v>20</v>
      </c>
      <c r="K106" s="242">
        <v>238500</v>
      </c>
      <c r="L106" s="3"/>
      <c r="M106" s="223"/>
    </row>
    <row r="107" spans="1:13">
      <c r="A107" s="239">
        <v>7</v>
      </c>
      <c r="B107" s="240" t="s">
        <v>709</v>
      </c>
      <c r="C107" s="242">
        <v>9260000</v>
      </c>
      <c r="D107" s="240">
        <v>41</v>
      </c>
      <c r="E107" s="242">
        <v>225853.66</v>
      </c>
      <c r="F107" s="241"/>
      <c r="G107" s="239">
        <v>9</v>
      </c>
      <c r="H107" s="240" t="s">
        <v>708</v>
      </c>
      <c r="I107" s="242">
        <v>650000</v>
      </c>
      <c r="J107" s="240">
        <v>3</v>
      </c>
      <c r="K107" s="242">
        <v>216666.67</v>
      </c>
      <c r="L107" s="3"/>
      <c r="M107" s="223"/>
    </row>
    <row r="108" spans="1:13">
      <c r="A108" s="239">
        <v>5</v>
      </c>
      <c r="B108" s="240" t="s">
        <v>707</v>
      </c>
      <c r="C108" s="242">
        <v>11720000</v>
      </c>
      <c r="D108" s="240">
        <v>52</v>
      </c>
      <c r="E108" s="242">
        <v>225384.62</v>
      </c>
      <c r="F108" s="241"/>
      <c r="G108" s="239">
        <v>4</v>
      </c>
      <c r="H108" s="240" t="s">
        <v>706</v>
      </c>
      <c r="I108" s="242">
        <v>2300000</v>
      </c>
      <c r="J108" s="240">
        <v>11</v>
      </c>
      <c r="K108" s="242">
        <v>209090.91</v>
      </c>
      <c r="L108" s="3"/>
      <c r="M108" s="223"/>
    </row>
    <row r="109" spans="1:13">
      <c r="A109" s="239">
        <v>3</v>
      </c>
      <c r="B109" s="240" t="s">
        <v>705</v>
      </c>
      <c r="C109" s="242">
        <v>12229990</v>
      </c>
      <c r="D109" s="240">
        <v>58</v>
      </c>
      <c r="E109" s="242">
        <v>210861.9</v>
      </c>
      <c r="F109" s="241"/>
      <c r="G109" s="239">
        <v>2</v>
      </c>
      <c r="H109" s="240" t="s">
        <v>709</v>
      </c>
      <c r="I109" s="242">
        <v>3880000</v>
      </c>
      <c r="J109" s="240">
        <v>19</v>
      </c>
      <c r="K109" s="242">
        <v>204210.53</v>
      </c>
      <c r="L109" s="3"/>
      <c r="M109" s="223"/>
    </row>
    <row r="110" spans="1:13">
      <c r="A110" s="239">
        <v>2</v>
      </c>
      <c r="B110" s="240" t="s">
        <v>704</v>
      </c>
      <c r="C110" s="242">
        <v>14229900</v>
      </c>
      <c r="D110" s="240">
        <v>72</v>
      </c>
      <c r="E110" s="242">
        <v>197637.5</v>
      </c>
      <c r="F110" s="241"/>
      <c r="G110" s="239">
        <v>6</v>
      </c>
      <c r="H110" s="240" t="s">
        <v>707</v>
      </c>
      <c r="I110" s="242">
        <v>2234900</v>
      </c>
      <c r="J110" s="240">
        <v>11</v>
      </c>
      <c r="K110" s="242">
        <v>203172.73</v>
      </c>
      <c r="L110" s="3"/>
      <c r="M110" s="223"/>
    </row>
    <row r="111" spans="1:13">
      <c r="A111" s="239">
        <v>6</v>
      </c>
      <c r="B111" s="240" t="s">
        <v>708</v>
      </c>
      <c r="C111" s="242">
        <v>9589900</v>
      </c>
      <c r="D111" s="240">
        <v>50</v>
      </c>
      <c r="E111" s="242">
        <v>191798</v>
      </c>
      <c r="F111" s="241"/>
      <c r="G111" s="222"/>
      <c r="M111" s="223"/>
    </row>
    <row r="112" spans="1:13">
      <c r="A112" s="239">
        <v>10</v>
      </c>
      <c r="B112" s="240" t="s">
        <v>712</v>
      </c>
      <c r="C112" s="242">
        <v>4330000</v>
      </c>
      <c r="D112" s="240">
        <v>25</v>
      </c>
      <c r="E112" s="242">
        <v>173200</v>
      </c>
      <c r="F112" s="241"/>
      <c r="G112" s="222"/>
      <c r="M112" s="223"/>
    </row>
    <row r="113" spans="1:13">
      <c r="A113" s="222"/>
      <c r="F113" s="223"/>
      <c r="G113" s="222"/>
      <c r="M113" s="223"/>
    </row>
    <row r="114" spans="1:13">
      <c r="A114" s="236" t="s">
        <v>561</v>
      </c>
      <c r="F114" s="223"/>
      <c r="G114" s="236" t="s">
        <v>561</v>
      </c>
      <c r="M114" s="223"/>
    </row>
    <row r="115" spans="1:13">
      <c r="A115" s="222"/>
      <c r="F115" s="223"/>
      <c r="G115" s="222"/>
      <c r="M115" s="223"/>
    </row>
    <row r="116" spans="1:13">
      <c r="A116" s="236" t="s">
        <v>716</v>
      </c>
      <c r="F116" s="223"/>
      <c r="G116" s="236" t="s">
        <v>721</v>
      </c>
      <c r="M116" s="223"/>
    </row>
    <row r="117" spans="1:13">
      <c r="A117" s="236" t="s">
        <v>717</v>
      </c>
      <c r="F117" s="223"/>
      <c r="G117" s="236" t="s">
        <v>722</v>
      </c>
      <c r="M117" s="223"/>
    </row>
    <row r="118" spans="1:13">
      <c r="A118" s="236" t="s">
        <v>718</v>
      </c>
      <c r="F118" s="223"/>
      <c r="G118" s="236" t="s">
        <v>723</v>
      </c>
      <c r="M118" s="223"/>
    </row>
    <row r="119" spans="1:13">
      <c r="A119" s="236" t="s">
        <v>719</v>
      </c>
      <c r="F119" s="223"/>
      <c r="G119" s="236" t="s">
        <v>724</v>
      </c>
      <c r="M119" s="223"/>
    </row>
    <row r="120" spans="1:13">
      <c r="A120" s="236" t="s">
        <v>720</v>
      </c>
      <c r="F120" s="223"/>
      <c r="G120" s="236" t="s">
        <v>725</v>
      </c>
      <c r="M120" s="223"/>
    </row>
    <row r="121" spans="1:13">
      <c r="A121" s="236"/>
      <c r="F121" s="223"/>
      <c r="G121" s="236"/>
      <c r="M121" s="223"/>
    </row>
    <row r="122" spans="1:13">
      <c r="A122" s="228"/>
      <c r="B122" s="229"/>
      <c r="C122" s="229"/>
      <c r="D122" s="229"/>
      <c r="E122" s="229"/>
      <c r="F122" s="175"/>
      <c r="G122" s="228"/>
      <c r="H122" s="229"/>
      <c r="I122" s="229"/>
      <c r="J122" s="229"/>
      <c r="K122" s="229"/>
      <c r="L122" s="229"/>
      <c r="M122" s="175"/>
    </row>
    <row r="124" spans="1:13">
      <c r="A124" s="283" t="s">
        <v>734</v>
      </c>
      <c r="B124" s="284"/>
      <c r="C124" s="284"/>
      <c r="D124" s="284"/>
      <c r="E124" s="284"/>
      <c r="F124" s="284"/>
      <c r="G124" s="284" t="s">
        <v>735</v>
      </c>
      <c r="H124" s="284"/>
      <c r="I124" s="284"/>
      <c r="J124" s="284"/>
      <c r="K124" s="284"/>
      <c r="L124" s="284"/>
      <c r="M124" s="284"/>
    </row>
    <row r="125" spans="1:13">
      <c r="A125" s="222"/>
      <c r="F125" s="223"/>
      <c r="G125" s="222"/>
      <c r="M125" s="223"/>
    </row>
    <row r="126" spans="1:13">
      <c r="A126" s="239" t="s">
        <v>510</v>
      </c>
      <c r="B126" s="240" t="s">
        <v>498</v>
      </c>
      <c r="C126" s="240" t="s">
        <v>511</v>
      </c>
      <c r="D126" s="240" t="s">
        <v>512</v>
      </c>
      <c r="E126" s="240" t="s">
        <v>513</v>
      </c>
      <c r="F126" s="241"/>
      <c r="G126" s="239" t="s">
        <v>510</v>
      </c>
      <c r="H126" s="240" t="s">
        <v>498</v>
      </c>
      <c r="I126" s="240" t="s">
        <v>511</v>
      </c>
      <c r="J126" s="240" t="s">
        <v>512</v>
      </c>
      <c r="K126" s="240" t="s">
        <v>513</v>
      </c>
      <c r="L126" s="230"/>
      <c r="M126" s="223"/>
    </row>
    <row r="127" spans="1:13">
      <c r="A127" s="239">
        <v>8</v>
      </c>
      <c r="B127" s="240" t="s">
        <v>733</v>
      </c>
      <c r="C127" s="242">
        <v>550000</v>
      </c>
      <c r="D127" s="240">
        <v>2</v>
      </c>
      <c r="E127" s="242">
        <v>275000</v>
      </c>
      <c r="F127" s="241"/>
      <c r="G127" s="239">
        <v>4</v>
      </c>
      <c r="H127" s="240" t="s">
        <v>732</v>
      </c>
      <c r="I127" s="242">
        <v>3780000</v>
      </c>
      <c r="J127" s="240">
        <v>17</v>
      </c>
      <c r="K127" s="242">
        <v>222352.94</v>
      </c>
      <c r="L127" s="230"/>
      <c r="M127" s="223"/>
    </row>
    <row r="128" spans="1:13">
      <c r="A128" s="239">
        <v>6</v>
      </c>
      <c r="B128" s="240" t="s">
        <v>731</v>
      </c>
      <c r="C128" s="242">
        <v>9320000</v>
      </c>
      <c r="D128" s="240">
        <v>38</v>
      </c>
      <c r="E128" s="242">
        <v>245263.16</v>
      </c>
      <c r="F128" s="241"/>
      <c r="G128" s="239">
        <v>3</v>
      </c>
      <c r="H128" s="240" t="s">
        <v>727</v>
      </c>
      <c r="I128" s="242">
        <v>3880000</v>
      </c>
      <c r="J128" s="240">
        <v>18</v>
      </c>
      <c r="K128" s="242">
        <v>215555.56</v>
      </c>
      <c r="L128" s="230"/>
      <c r="M128" s="223"/>
    </row>
    <row r="129" spans="1:13">
      <c r="A129" s="239">
        <v>7</v>
      </c>
      <c r="B129" s="240" t="s">
        <v>732</v>
      </c>
      <c r="C129" s="242">
        <v>6280000</v>
      </c>
      <c r="D129" s="240">
        <v>26</v>
      </c>
      <c r="E129" s="242">
        <v>241538.46</v>
      </c>
      <c r="F129" s="241"/>
      <c r="G129" s="239">
        <v>6</v>
      </c>
      <c r="H129" s="240" t="s">
        <v>726</v>
      </c>
      <c r="I129" s="242">
        <v>1500000</v>
      </c>
      <c r="J129" s="240">
        <v>7</v>
      </c>
      <c r="K129" s="242">
        <v>214285.71</v>
      </c>
      <c r="L129" s="230"/>
      <c r="M129" s="223"/>
    </row>
    <row r="130" spans="1:13">
      <c r="A130" s="239">
        <v>5</v>
      </c>
      <c r="B130" s="240" t="s">
        <v>730</v>
      </c>
      <c r="C130" s="242">
        <v>9900000</v>
      </c>
      <c r="D130" s="240">
        <v>44</v>
      </c>
      <c r="E130" s="242">
        <v>225000</v>
      </c>
      <c r="F130" s="241"/>
      <c r="G130" s="239">
        <v>2</v>
      </c>
      <c r="H130" s="240" t="s">
        <v>731</v>
      </c>
      <c r="I130" s="242">
        <v>4230000</v>
      </c>
      <c r="J130" s="240">
        <v>20</v>
      </c>
      <c r="K130" s="242">
        <v>211500</v>
      </c>
      <c r="L130" s="230"/>
      <c r="M130" s="223"/>
    </row>
    <row r="131" spans="1:13">
      <c r="A131" s="239">
        <v>1</v>
      </c>
      <c r="B131" s="240" t="s">
        <v>726</v>
      </c>
      <c r="C131" s="242">
        <v>14299990</v>
      </c>
      <c r="D131" s="240">
        <v>66</v>
      </c>
      <c r="E131" s="242">
        <v>216666.52</v>
      </c>
      <c r="F131" s="241"/>
      <c r="G131" s="239">
        <v>1</v>
      </c>
      <c r="H131" s="240" t="s">
        <v>729</v>
      </c>
      <c r="I131" s="242">
        <v>4250000</v>
      </c>
      <c r="J131" s="240">
        <v>22</v>
      </c>
      <c r="K131" s="242">
        <v>193181.82</v>
      </c>
      <c r="L131" s="230"/>
      <c r="M131" s="223"/>
    </row>
    <row r="132" spans="1:13">
      <c r="A132" s="239">
        <v>2</v>
      </c>
      <c r="B132" s="240" t="s">
        <v>727</v>
      </c>
      <c r="C132" s="242">
        <v>12580000</v>
      </c>
      <c r="D132" s="240">
        <v>60</v>
      </c>
      <c r="E132" s="242">
        <v>209666.67</v>
      </c>
      <c r="F132" s="241"/>
      <c r="G132" s="239">
        <v>7</v>
      </c>
      <c r="H132" s="240" t="s">
        <v>728</v>
      </c>
      <c r="I132" s="242">
        <v>770000</v>
      </c>
      <c r="J132" s="240">
        <v>4</v>
      </c>
      <c r="K132" s="242">
        <v>192500</v>
      </c>
      <c r="L132" s="230"/>
      <c r="M132" s="223"/>
    </row>
    <row r="133" spans="1:13">
      <c r="A133" s="239">
        <v>3</v>
      </c>
      <c r="B133" s="240" t="s">
        <v>728</v>
      </c>
      <c r="C133" s="242">
        <v>12490000</v>
      </c>
      <c r="D133" s="240">
        <v>60</v>
      </c>
      <c r="E133" s="242">
        <v>208166.67</v>
      </c>
      <c r="F133" s="241"/>
      <c r="G133" s="239">
        <v>5</v>
      </c>
      <c r="H133" s="240" t="s">
        <v>730</v>
      </c>
      <c r="I133" s="242">
        <v>1900000</v>
      </c>
      <c r="J133" s="240">
        <v>10</v>
      </c>
      <c r="K133" s="242">
        <v>190000</v>
      </c>
      <c r="L133" s="230"/>
      <c r="M133" s="223"/>
    </row>
    <row r="134" spans="1:13">
      <c r="A134" s="239">
        <v>4</v>
      </c>
      <c r="B134" s="240" t="s">
        <v>729</v>
      </c>
      <c r="C134" s="242">
        <v>12470000</v>
      </c>
      <c r="D134" s="240">
        <v>60</v>
      </c>
      <c r="E134" s="242">
        <v>207833.33</v>
      </c>
      <c r="F134" s="241"/>
      <c r="G134" s="243"/>
      <c r="H134" s="230"/>
      <c r="I134" s="230"/>
      <c r="J134" s="230"/>
      <c r="K134" s="230"/>
      <c r="L134" s="230"/>
      <c r="M134" s="223"/>
    </row>
    <row r="135" spans="1:13">
      <c r="A135" s="222"/>
      <c r="F135" s="223"/>
      <c r="G135" s="222"/>
      <c r="M135" s="223"/>
    </row>
    <row r="136" spans="1:13">
      <c r="A136" s="236" t="s">
        <v>561</v>
      </c>
      <c r="F136" s="223"/>
      <c r="G136" s="236" t="s">
        <v>561</v>
      </c>
      <c r="M136" s="223"/>
    </row>
    <row r="137" spans="1:13">
      <c r="A137" s="222"/>
      <c r="F137" s="223"/>
      <c r="G137" s="222"/>
      <c r="M137" s="223"/>
    </row>
    <row r="138" spans="1:13">
      <c r="A138" s="236" t="s">
        <v>760</v>
      </c>
      <c r="F138" s="223"/>
      <c r="G138" s="236" t="s">
        <v>765</v>
      </c>
      <c r="M138" s="223"/>
    </row>
    <row r="139" spans="1:13">
      <c r="A139" s="236" t="s">
        <v>761</v>
      </c>
      <c r="F139" s="223"/>
      <c r="G139" s="236" t="s">
        <v>766</v>
      </c>
      <c r="M139" s="223"/>
    </row>
    <row r="140" spans="1:13">
      <c r="A140" s="236" t="s">
        <v>762</v>
      </c>
      <c r="F140" s="223"/>
      <c r="G140" s="236" t="s">
        <v>767</v>
      </c>
      <c r="M140" s="223"/>
    </row>
    <row r="141" spans="1:13">
      <c r="A141" s="236" t="s">
        <v>763</v>
      </c>
      <c r="F141" s="223"/>
      <c r="G141" s="236" t="s">
        <v>768</v>
      </c>
      <c r="M141" s="223"/>
    </row>
    <row r="142" spans="1:13">
      <c r="A142" s="236" t="s">
        <v>764</v>
      </c>
      <c r="F142" s="223"/>
      <c r="G142" s="236" t="s">
        <v>769</v>
      </c>
      <c r="M142" s="223"/>
    </row>
    <row r="143" spans="1:13">
      <c r="A143" s="236"/>
      <c r="F143" s="223"/>
      <c r="G143" s="236"/>
      <c r="M143" s="223"/>
    </row>
    <row r="144" spans="1:13">
      <c r="A144" s="222"/>
      <c r="F144" s="223"/>
      <c r="G144" s="222"/>
      <c r="M144" s="223"/>
    </row>
    <row r="145" spans="1:13">
      <c r="A145" s="228"/>
      <c r="B145" s="229"/>
      <c r="C145" s="229"/>
      <c r="D145" s="229"/>
      <c r="E145" s="229"/>
      <c r="F145" s="175"/>
      <c r="G145" s="228"/>
      <c r="H145" s="229"/>
      <c r="I145" s="229"/>
      <c r="J145" s="229"/>
      <c r="K145" s="229"/>
      <c r="L145" s="229"/>
      <c r="M145" s="175"/>
    </row>
    <row r="147" spans="1:13">
      <c r="A147" s="283" t="s">
        <v>775</v>
      </c>
      <c r="B147" s="284"/>
      <c r="C147" s="284"/>
      <c r="D147" s="284"/>
      <c r="E147" s="284"/>
      <c r="F147" s="284"/>
      <c r="G147" s="284" t="s">
        <v>776</v>
      </c>
      <c r="H147" s="284"/>
      <c r="I147" s="284"/>
      <c r="J147" s="284"/>
      <c r="K147" s="284"/>
      <c r="L147" s="284"/>
      <c r="M147" s="284"/>
    </row>
    <row r="148" spans="1:13">
      <c r="A148" s="222"/>
      <c r="F148" s="223"/>
      <c r="G148" s="222"/>
      <c r="M148" s="223"/>
    </row>
    <row r="149" spans="1:13">
      <c r="A149" s="47" t="s">
        <v>510</v>
      </c>
      <c r="B149" s="3" t="s">
        <v>498</v>
      </c>
      <c r="C149" s="3" t="s">
        <v>499</v>
      </c>
      <c r="D149" s="3" t="s">
        <v>500</v>
      </c>
      <c r="E149" s="3" t="s">
        <v>346</v>
      </c>
      <c r="F149" s="48"/>
      <c r="G149" s="47" t="s">
        <v>510</v>
      </c>
      <c r="H149" s="3" t="s">
        <v>498</v>
      </c>
      <c r="I149" s="3" t="s">
        <v>499</v>
      </c>
      <c r="J149" s="3" t="s">
        <v>500</v>
      </c>
      <c r="K149" s="3" t="s">
        <v>346</v>
      </c>
      <c r="L149" s="3"/>
      <c r="M149" s="223"/>
    </row>
    <row r="150" spans="1:13">
      <c r="A150" s="47">
        <v>9</v>
      </c>
      <c r="B150" s="3" t="s">
        <v>743</v>
      </c>
      <c r="C150" s="244">
        <v>1910000</v>
      </c>
      <c r="D150" s="3">
        <v>8</v>
      </c>
      <c r="E150" s="244">
        <v>238750</v>
      </c>
      <c r="F150" s="48"/>
      <c r="G150" s="47">
        <v>8</v>
      </c>
      <c r="H150" s="3" t="s">
        <v>751</v>
      </c>
      <c r="I150" s="244">
        <v>250000</v>
      </c>
      <c r="J150" s="3">
        <v>1</v>
      </c>
      <c r="K150" s="244">
        <v>250000</v>
      </c>
      <c r="L150" s="3"/>
      <c r="M150" s="223"/>
    </row>
    <row r="151" spans="1:13">
      <c r="A151" s="47">
        <v>2</v>
      </c>
      <c r="B151" s="3" t="s">
        <v>731</v>
      </c>
      <c r="C151" s="244">
        <v>16130000</v>
      </c>
      <c r="D151" s="3">
        <v>71</v>
      </c>
      <c r="E151" s="244">
        <v>227183.1</v>
      </c>
      <c r="F151" s="48"/>
      <c r="G151" s="47">
        <v>3</v>
      </c>
      <c r="H151" s="3" t="s">
        <v>733</v>
      </c>
      <c r="I151" s="244">
        <v>4050000</v>
      </c>
      <c r="J151" s="3">
        <v>17</v>
      </c>
      <c r="K151" s="244">
        <v>238235.29</v>
      </c>
      <c r="L151" s="3"/>
      <c r="M151" s="223"/>
    </row>
    <row r="152" spans="1:13">
      <c r="A152" s="47">
        <v>1</v>
      </c>
      <c r="B152" s="3" t="s">
        <v>736</v>
      </c>
      <c r="C152" s="244">
        <v>19910000</v>
      </c>
      <c r="D152" s="3">
        <v>91</v>
      </c>
      <c r="E152" s="244">
        <v>218791.21</v>
      </c>
      <c r="F152" s="48"/>
      <c r="G152" s="47">
        <v>2</v>
      </c>
      <c r="H152" s="3" t="s">
        <v>746</v>
      </c>
      <c r="I152" s="244">
        <v>4300000</v>
      </c>
      <c r="J152" s="3">
        <v>19</v>
      </c>
      <c r="K152" s="244">
        <v>226315.79</v>
      </c>
      <c r="L152" s="3"/>
      <c r="M152" s="223"/>
    </row>
    <row r="153" spans="1:13">
      <c r="A153" s="47">
        <v>5</v>
      </c>
      <c r="B153" s="3" t="s">
        <v>739</v>
      </c>
      <c r="C153" s="244">
        <v>11150000</v>
      </c>
      <c r="D153" s="3">
        <v>51</v>
      </c>
      <c r="E153" s="244">
        <v>218627.45</v>
      </c>
      <c r="F153" s="48"/>
      <c r="G153" s="47">
        <v>4</v>
      </c>
      <c r="H153" s="3" t="s">
        <v>747</v>
      </c>
      <c r="I153" s="244">
        <v>3580000</v>
      </c>
      <c r="J153" s="3">
        <v>17</v>
      </c>
      <c r="K153" s="244">
        <v>210588.24</v>
      </c>
      <c r="L153" s="3"/>
      <c r="M153" s="223"/>
    </row>
    <row r="154" spans="1:13">
      <c r="A154" s="47">
        <v>6</v>
      </c>
      <c r="B154" s="3" t="s">
        <v>740</v>
      </c>
      <c r="C154" s="244">
        <v>11100000</v>
      </c>
      <c r="D154" s="3">
        <v>54</v>
      </c>
      <c r="E154" s="244">
        <v>205555.56</v>
      </c>
      <c r="F154" s="48"/>
      <c r="G154" s="47">
        <v>6</v>
      </c>
      <c r="H154" s="3" t="s">
        <v>749</v>
      </c>
      <c r="I154" s="244">
        <v>2080000</v>
      </c>
      <c r="J154" s="3">
        <v>10</v>
      </c>
      <c r="K154" s="244">
        <v>208000</v>
      </c>
      <c r="L154" s="3"/>
      <c r="M154" s="223"/>
    </row>
    <row r="155" spans="1:13">
      <c r="A155" s="47">
        <v>4</v>
      </c>
      <c r="B155" s="3" t="s">
        <v>738</v>
      </c>
      <c r="C155" s="244">
        <v>12910000</v>
      </c>
      <c r="D155" s="3">
        <v>63</v>
      </c>
      <c r="E155" s="244">
        <v>204920.63</v>
      </c>
      <c r="F155" s="48"/>
      <c r="G155" s="47">
        <v>1</v>
      </c>
      <c r="H155" s="3" t="s">
        <v>745</v>
      </c>
      <c r="I155" s="244">
        <v>4500000</v>
      </c>
      <c r="J155" s="3">
        <v>22</v>
      </c>
      <c r="K155" s="244">
        <v>204545.45</v>
      </c>
      <c r="L155" s="3"/>
      <c r="M155" s="223"/>
    </row>
    <row r="156" spans="1:13">
      <c r="A156" s="47">
        <v>3</v>
      </c>
      <c r="B156" s="3" t="s">
        <v>737</v>
      </c>
      <c r="C156" s="244">
        <v>14960000</v>
      </c>
      <c r="D156" s="3">
        <v>74</v>
      </c>
      <c r="E156" s="244">
        <v>202162.16</v>
      </c>
      <c r="F156" s="48"/>
      <c r="G156" s="47">
        <v>5</v>
      </c>
      <c r="H156" s="3" t="s">
        <v>748</v>
      </c>
      <c r="I156" s="244">
        <v>2900000</v>
      </c>
      <c r="J156" s="3">
        <v>15</v>
      </c>
      <c r="K156" s="244">
        <v>193333.33</v>
      </c>
      <c r="L156" s="3"/>
      <c r="M156" s="223"/>
    </row>
    <row r="157" spans="1:13">
      <c r="A157" s="47">
        <v>8</v>
      </c>
      <c r="B157" s="3" t="s">
        <v>742</v>
      </c>
      <c r="C157" s="244">
        <v>2600000</v>
      </c>
      <c r="D157" s="3">
        <v>13</v>
      </c>
      <c r="E157" s="244">
        <v>200000</v>
      </c>
      <c r="F157" s="48"/>
      <c r="G157" s="47">
        <v>7</v>
      </c>
      <c r="H157" s="3" t="s">
        <v>750</v>
      </c>
      <c r="I157" s="244">
        <v>1680000</v>
      </c>
      <c r="J157" s="3">
        <v>10</v>
      </c>
      <c r="K157" s="244">
        <v>168000</v>
      </c>
      <c r="L157" s="3"/>
      <c r="M157" s="223"/>
    </row>
    <row r="158" spans="1:13">
      <c r="A158" s="47">
        <v>7</v>
      </c>
      <c r="B158" s="3" t="s">
        <v>741</v>
      </c>
      <c r="C158" s="244">
        <v>11050000</v>
      </c>
      <c r="D158" s="3">
        <v>58</v>
      </c>
      <c r="E158" s="244">
        <v>190517.24</v>
      </c>
      <c r="F158" s="48"/>
      <c r="G158" s="47"/>
      <c r="H158" s="3"/>
      <c r="I158" s="3"/>
      <c r="J158" s="3"/>
      <c r="K158" s="3"/>
      <c r="L158" s="3"/>
      <c r="M158" s="223"/>
    </row>
    <row r="159" spans="1:13">
      <c r="A159" s="47">
        <v>10</v>
      </c>
      <c r="B159" s="3" t="s">
        <v>744</v>
      </c>
      <c r="C159" s="244">
        <v>730000</v>
      </c>
      <c r="D159" s="3">
        <v>4</v>
      </c>
      <c r="E159" s="244">
        <v>182500</v>
      </c>
      <c r="F159" s="48"/>
      <c r="G159" s="47"/>
      <c r="H159" s="3"/>
      <c r="I159" s="3"/>
      <c r="J159" s="3"/>
      <c r="K159" s="3"/>
      <c r="L159" s="3"/>
      <c r="M159" s="223"/>
    </row>
    <row r="160" spans="1:13">
      <c r="A160" s="222"/>
      <c r="F160" s="223"/>
      <c r="G160" s="222"/>
      <c r="M160" s="223"/>
    </row>
    <row r="161" spans="1:13">
      <c r="A161" s="236" t="s">
        <v>753</v>
      </c>
      <c r="F161" s="223"/>
      <c r="G161" s="222" t="s">
        <v>752</v>
      </c>
      <c r="M161" s="223"/>
    </row>
    <row r="162" spans="1:13">
      <c r="A162" s="236"/>
      <c r="F162" s="223"/>
      <c r="G162" s="222"/>
      <c r="M162" s="223"/>
    </row>
    <row r="163" spans="1:13">
      <c r="A163" s="236" t="s">
        <v>754</v>
      </c>
      <c r="F163" s="223"/>
      <c r="G163" s="236" t="s">
        <v>772</v>
      </c>
      <c r="M163" s="223"/>
    </row>
    <row r="164" spans="1:13">
      <c r="A164" s="236" t="s">
        <v>755</v>
      </c>
      <c r="F164" s="223"/>
      <c r="G164" s="236" t="s">
        <v>773</v>
      </c>
      <c r="M164" s="223"/>
    </row>
    <row r="165" spans="1:13">
      <c r="A165" s="236" t="s">
        <v>756</v>
      </c>
      <c r="F165" s="223"/>
      <c r="G165" s="236" t="s">
        <v>774</v>
      </c>
      <c r="M165" s="223"/>
    </row>
    <row r="166" spans="1:13">
      <c r="A166" s="236" t="s">
        <v>757</v>
      </c>
      <c r="F166" s="223"/>
      <c r="G166" s="236" t="s">
        <v>770</v>
      </c>
      <c r="M166" s="223"/>
    </row>
    <row r="167" spans="1:13">
      <c r="A167" s="236" t="s">
        <v>758</v>
      </c>
      <c r="F167" s="223"/>
      <c r="G167" s="236" t="s">
        <v>771</v>
      </c>
      <c r="M167" s="223"/>
    </row>
    <row r="168" spans="1:13">
      <c r="A168" s="236" t="s">
        <v>759</v>
      </c>
      <c r="F168" s="223"/>
      <c r="M168" s="223"/>
    </row>
    <row r="169" spans="1:13">
      <c r="A169" s="236"/>
      <c r="F169" s="223"/>
      <c r="M169" s="223"/>
    </row>
    <row r="170" spans="1:13">
      <c r="A170" s="222"/>
      <c r="F170" s="223"/>
      <c r="M170" s="223"/>
    </row>
    <row r="171" spans="1:13">
      <c r="A171" s="228"/>
      <c r="B171" s="229"/>
      <c r="C171" s="229"/>
      <c r="D171" s="229"/>
      <c r="E171" s="229"/>
      <c r="F171" s="175"/>
      <c r="G171" s="228"/>
      <c r="H171" s="229"/>
      <c r="I171" s="229"/>
      <c r="J171" s="229"/>
      <c r="K171" s="229"/>
      <c r="L171" s="229"/>
      <c r="M171" s="175"/>
    </row>
    <row r="173" spans="1:13">
      <c r="A173" s="283" t="s">
        <v>791</v>
      </c>
      <c r="B173" s="284"/>
      <c r="C173" s="284"/>
      <c r="D173" s="284"/>
      <c r="E173" s="284"/>
      <c r="F173" s="284"/>
      <c r="G173" s="284" t="s">
        <v>792</v>
      </c>
      <c r="H173" s="284"/>
      <c r="I173" s="284"/>
      <c r="J173" s="284"/>
      <c r="K173" s="284"/>
      <c r="L173" s="284"/>
      <c r="M173" s="284"/>
    </row>
    <row r="174" spans="1:13">
      <c r="A174" s="222"/>
      <c r="F174" s="223"/>
      <c r="G174" s="222"/>
      <c r="M174" s="223"/>
    </row>
    <row r="175" spans="1:13">
      <c r="A175" s="47" t="s">
        <v>510</v>
      </c>
      <c r="B175" s="3" t="s">
        <v>498</v>
      </c>
      <c r="C175" s="3" t="s">
        <v>499</v>
      </c>
      <c r="D175" s="3" t="s">
        <v>500</v>
      </c>
      <c r="E175" s="3" t="s">
        <v>346</v>
      </c>
      <c r="F175" s="48"/>
      <c r="G175" s="47" t="s">
        <v>510</v>
      </c>
      <c r="H175" s="3" t="s">
        <v>498</v>
      </c>
      <c r="I175" s="3" t="s">
        <v>499</v>
      </c>
      <c r="J175" s="3" t="s">
        <v>500</v>
      </c>
      <c r="K175" s="3" t="s">
        <v>346</v>
      </c>
      <c r="L175" s="3"/>
      <c r="M175" s="223"/>
    </row>
    <row r="176" spans="1:13">
      <c r="A176" s="47">
        <v>8</v>
      </c>
      <c r="B176" s="3" t="s">
        <v>784</v>
      </c>
      <c r="C176" s="244">
        <v>1300000</v>
      </c>
      <c r="D176" s="3">
        <v>5</v>
      </c>
      <c r="E176" s="244">
        <v>260000</v>
      </c>
      <c r="F176" s="48"/>
      <c r="G176" s="47">
        <v>5</v>
      </c>
      <c r="H176" s="3" t="s">
        <v>785</v>
      </c>
      <c r="I176" s="244">
        <v>250000</v>
      </c>
      <c r="J176" s="3">
        <v>1</v>
      </c>
      <c r="K176" s="244">
        <v>250000</v>
      </c>
      <c r="L176" s="3"/>
      <c r="M176" s="223"/>
    </row>
    <row r="177" spans="1:13">
      <c r="A177" s="47">
        <v>12</v>
      </c>
      <c r="B177" s="3" t="s">
        <v>788</v>
      </c>
      <c r="C177" s="244">
        <v>480000</v>
      </c>
      <c r="D177" s="3">
        <v>2</v>
      </c>
      <c r="E177" s="244">
        <v>240000</v>
      </c>
      <c r="F177" s="48"/>
      <c r="G177" s="47">
        <v>3</v>
      </c>
      <c r="H177" s="3" t="s">
        <v>779</v>
      </c>
      <c r="I177" s="244">
        <v>3040000</v>
      </c>
      <c r="J177" s="3">
        <v>15</v>
      </c>
      <c r="K177" s="244">
        <v>202666.67</v>
      </c>
      <c r="L177" s="3"/>
      <c r="M177" s="223"/>
    </row>
    <row r="178" spans="1:13">
      <c r="A178" s="47">
        <v>5</v>
      </c>
      <c r="B178" s="3" t="s">
        <v>781</v>
      </c>
      <c r="C178" s="244">
        <v>6060000</v>
      </c>
      <c r="D178" s="3">
        <v>26</v>
      </c>
      <c r="E178" s="244">
        <v>233076.92</v>
      </c>
      <c r="F178" s="48"/>
      <c r="G178" s="47">
        <v>2</v>
      </c>
      <c r="H178" s="3" t="s">
        <v>778</v>
      </c>
      <c r="I178" s="244">
        <v>3420000</v>
      </c>
      <c r="J178" s="3">
        <v>18</v>
      </c>
      <c r="K178" s="244">
        <v>190000</v>
      </c>
      <c r="L178" s="3"/>
      <c r="M178" s="223"/>
    </row>
    <row r="179" spans="1:13">
      <c r="A179" s="47">
        <v>11</v>
      </c>
      <c r="B179" s="3" t="s">
        <v>787</v>
      </c>
      <c r="C179" s="244">
        <v>650000</v>
      </c>
      <c r="D179" s="3">
        <v>3</v>
      </c>
      <c r="E179" s="244">
        <v>216666.67</v>
      </c>
      <c r="F179" s="48"/>
      <c r="G179" s="47">
        <v>1</v>
      </c>
      <c r="H179" s="3" t="s">
        <v>777</v>
      </c>
      <c r="I179" s="244">
        <v>3740000</v>
      </c>
      <c r="J179" s="3">
        <v>20</v>
      </c>
      <c r="K179" s="244">
        <v>187000</v>
      </c>
      <c r="L179" s="3"/>
      <c r="M179" s="223"/>
    </row>
    <row r="180" spans="1:13">
      <c r="A180" s="47">
        <v>4</v>
      </c>
      <c r="B180" s="3" t="s">
        <v>780</v>
      </c>
      <c r="C180" s="244">
        <v>10350000</v>
      </c>
      <c r="D180" s="3">
        <v>49</v>
      </c>
      <c r="E180" s="244">
        <v>211224.49</v>
      </c>
      <c r="F180" s="48"/>
      <c r="G180" s="47">
        <v>4</v>
      </c>
      <c r="H180" s="3" t="s">
        <v>790</v>
      </c>
      <c r="I180" s="244">
        <v>1710000</v>
      </c>
      <c r="J180" s="3">
        <v>10</v>
      </c>
      <c r="K180" s="244">
        <v>171000</v>
      </c>
      <c r="L180" s="3"/>
      <c r="M180" s="223"/>
    </row>
    <row r="181" spans="1:13">
      <c r="A181" s="47">
        <v>2</v>
      </c>
      <c r="B181" s="3" t="s">
        <v>778</v>
      </c>
      <c r="C181" s="244">
        <v>14315000</v>
      </c>
      <c r="D181" s="3">
        <v>70</v>
      </c>
      <c r="E181" s="244">
        <v>204500</v>
      </c>
      <c r="F181" s="48"/>
      <c r="G181" s="47"/>
      <c r="H181" s="3"/>
      <c r="I181" s="3"/>
      <c r="J181" s="3"/>
      <c r="K181" s="3"/>
      <c r="L181" s="3"/>
      <c r="M181" s="223"/>
    </row>
    <row r="182" spans="1:13">
      <c r="A182" s="47">
        <v>6</v>
      </c>
      <c r="B182" s="3" t="s">
        <v>782</v>
      </c>
      <c r="C182" s="244">
        <v>2400000</v>
      </c>
      <c r="D182" s="3">
        <v>12</v>
      </c>
      <c r="E182" s="244">
        <v>200000</v>
      </c>
      <c r="F182" s="48"/>
      <c r="G182" s="47"/>
      <c r="H182" s="3"/>
      <c r="I182" s="3"/>
      <c r="J182" s="3"/>
      <c r="K182" s="3"/>
      <c r="L182" s="3"/>
      <c r="M182" s="223"/>
    </row>
    <row r="183" spans="1:13">
      <c r="A183" s="47">
        <v>7</v>
      </c>
      <c r="B183" s="3" t="s">
        <v>783</v>
      </c>
      <c r="C183" s="244">
        <v>2200000</v>
      </c>
      <c r="D183" s="3">
        <v>11</v>
      </c>
      <c r="E183" s="244">
        <v>200000</v>
      </c>
      <c r="F183" s="48"/>
      <c r="G183" s="47"/>
      <c r="H183" s="3"/>
      <c r="I183" s="3"/>
      <c r="J183" s="3"/>
      <c r="K183" s="3"/>
      <c r="L183" s="3"/>
      <c r="M183" s="223"/>
    </row>
    <row r="184" spans="1:13">
      <c r="A184" s="47">
        <v>1</v>
      </c>
      <c r="B184" s="3" t="s">
        <v>777</v>
      </c>
      <c r="C184" s="244">
        <v>14520000</v>
      </c>
      <c r="D184" s="3">
        <v>73</v>
      </c>
      <c r="E184" s="244">
        <v>198904.11</v>
      </c>
      <c r="F184" s="48"/>
      <c r="G184" s="47"/>
      <c r="H184" s="3"/>
      <c r="I184" s="3"/>
      <c r="J184" s="3"/>
      <c r="K184" s="3"/>
      <c r="L184" s="3"/>
      <c r="M184" s="223"/>
    </row>
    <row r="185" spans="1:13">
      <c r="A185" s="47">
        <v>9</v>
      </c>
      <c r="B185" s="3" t="s">
        <v>785</v>
      </c>
      <c r="C185" s="244">
        <v>1180000</v>
      </c>
      <c r="D185" s="3">
        <v>6</v>
      </c>
      <c r="E185" s="244">
        <v>196666.67</v>
      </c>
      <c r="F185" s="48"/>
      <c r="G185" s="47"/>
      <c r="H185" s="3"/>
      <c r="I185" s="3"/>
      <c r="J185" s="3"/>
      <c r="K185" s="3"/>
      <c r="L185" s="3"/>
      <c r="M185" s="223"/>
    </row>
    <row r="186" spans="1:13">
      <c r="A186" s="47">
        <v>10</v>
      </c>
      <c r="B186" s="3" t="s">
        <v>786</v>
      </c>
      <c r="C186" s="244">
        <v>750000</v>
      </c>
      <c r="D186" s="3">
        <v>4</v>
      </c>
      <c r="E186" s="244">
        <v>187500</v>
      </c>
      <c r="F186" s="48"/>
      <c r="G186" s="47"/>
      <c r="H186" s="3"/>
      <c r="I186" s="3"/>
      <c r="J186" s="3"/>
      <c r="K186" s="3"/>
      <c r="L186" s="3"/>
      <c r="M186" s="223"/>
    </row>
    <row r="187" spans="1:13">
      <c r="A187" s="47">
        <v>3</v>
      </c>
      <c r="B187" s="3" t="s">
        <v>779</v>
      </c>
      <c r="C187" s="244">
        <v>11565000</v>
      </c>
      <c r="D187" s="3">
        <v>62</v>
      </c>
      <c r="E187" s="244">
        <v>186532.26</v>
      </c>
      <c r="F187" s="48"/>
      <c r="G187" s="47"/>
      <c r="H187" s="3"/>
      <c r="I187" s="3"/>
      <c r="J187" s="3"/>
      <c r="K187" s="3"/>
      <c r="L187" s="3"/>
      <c r="M187" s="223"/>
    </row>
    <row r="188" spans="1:13">
      <c r="A188" s="47">
        <v>13</v>
      </c>
      <c r="B188" s="3" t="s">
        <v>789</v>
      </c>
      <c r="C188" s="244">
        <v>130000</v>
      </c>
      <c r="D188" s="3">
        <v>1</v>
      </c>
      <c r="E188" s="244">
        <v>130000</v>
      </c>
      <c r="F188" s="48"/>
      <c r="G188" s="47"/>
      <c r="H188" s="3"/>
      <c r="I188" s="3"/>
      <c r="J188" s="3"/>
      <c r="K188" s="3"/>
      <c r="L188" s="3"/>
      <c r="M188" s="223"/>
    </row>
    <row r="189" spans="1:13">
      <c r="A189" s="222"/>
      <c r="F189" s="223"/>
      <c r="G189" s="222"/>
      <c r="M189" s="223"/>
    </row>
    <row r="190" spans="1:13">
      <c r="A190" s="222" t="s">
        <v>752</v>
      </c>
      <c r="F190" s="223"/>
      <c r="G190" s="222" t="s">
        <v>752</v>
      </c>
      <c r="M190" s="223"/>
    </row>
    <row r="191" spans="1:13">
      <c r="A191" s="222"/>
      <c r="F191" s="223"/>
      <c r="G191" s="222"/>
      <c r="M191" s="223"/>
    </row>
    <row r="192" spans="1:13">
      <c r="A192" s="236" t="s">
        <v>795</v>
      </c>
      <c r="F192" s="223"/>
      <c r="G192" s="236" t="s">
        <v>800</v>
      </c>
      <c r="M192" s="223"/>
    </row>
    <row r="193" spans="1:13">
      <c r="A193" s="236" t="s">
        <v>797</v>
      </c>
      <c r="F193" s="223"/>
      <c r="G193" s="236" t="s">
        <v>801</v>
      </c>
      <c r="M193" s="223"/>
    </row>
    <row r="194" spans="1:13">
      <c r="A194" s="236" t="s">
        <v>796</v>
      </c>
      <c r="F194" s="223"/>
      <c r="G194" s="236" t="s">
        <v>802</v>
      </c>
      <c r="M194" s="223"/>
    </row>
    <row r="195" spans="1:13">
      <c r="A195" s="236" t="s">
        <v>793</v>
      </c>
      <c r="F195" s="223"/>
      <c r="G195" s="236" t="s">
        <v>798</v>
      </c>
      <c r="M195" s="223"/>
    </row>
    <row r="196" spans="1:13">
      <c r="A196" s="236" t="s">
        <v>794</v>
      </c>
      <c r="F196" s="223"/>
      <c r="G196" s="236" t="s">
        <v>799</v>
      </c>
      <c r="M196" s="223"/>
    </row>
    <row r="197" spans="1:13">
      <c r="A197" s="222"/>
      <c r="F197" s="223"/>
      <c r="M197" s="223"/>
    </row>
    <row r="198" spans="1:13">
      <c r="A198" s="228"/>
      <c r="B198" s="229"/>
      <c r="C198" s="229"/>
      <c r="D198" s="229"/>
      <c r="E198" s="229"/>
      <c r="F198" s="175"/>
      <c r="G198" s="229"/>
      <c r="H198" s="229"/>
      <c r="I198" s="229"/>
      <c r="J198" s="229"/>
      <c r="K198" s="229"/>
      <c r="L198" s="229"/>
      <c r="M198" s="175"/>
    </row>
  </sheetData>
  <autoFilter ref="A175:E175" xr:uid="{92F8997E-D924-44E3-9EA7-C308812C1BB5}">
    <sortState xmlns:xlrd2="http://schemas.microsoft.com/office/spreadsheetml/2017/richdata2" ref="A176:E188">
      <sortCondition descending="1" ref="E175"/>
    </sortState>
  </autoFilter>
  <mergeCells count="25">
    <mergeCell ref="A5:C5"/>
    <mergeCell ref="A1:C1"/>
    <mergeCell ref="A2:C2"/>
    <mergeCell ref="A3:C3"/>
    <mergeCell ref="A4:C4"/>
    <mergeCell ref="A37:F37"/>
    <mergeCell ref="G37:M37"/>
    <mergeCell ref="A57:F57"/>
    <mergeCell ref="G57:M57"/>
    <mergeCell ref="A6:C6"/>
    <mergeCell ref="A7:C7"/>
    <mergeCell ref="A8:C8"/>
    <mergeCell ref="A10:M10"/>
    <mergeCell ref="A12:F12"/>
    <mergeCell ref="G12:M12"/>
    <mergeCell ref="A147:F147"/>
    <mergeCell ref="G147:M147"/>
    <mergeCell ref="A173:F173"/>
    <mergeCell ref="G173:M173"/>
    <mergeCell ref="A78:F78"/>
    <mergeCell ref="G78:M78"/>
    <mergeCell ref="A99:F99"/>
    <mergeCell ref="G99:M99"/>
    <mergeCell ref="A124:F124"/>
    <mergeCell ref="G124:M1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33F6-DD15-4400-BB6B-B4E5624BA41E}">
  <sheetPr filterMode="1"/>
  <dimension ref="A1:R104"/>
  <sheetViews>
    <sheetView showGridLines="0" zoomScale="80" zoomScaleNormal="80" workbookViewId="0">
      <pane ySplit="1" topLeftCell="A2" activePane="bottomLeft" state="frozen"/>
      <selection pane="bottomLeft" activeCell="F105" sqref="F105"/>
    </sheetView>
  </sheetViews>
  <sheetFormatPr baseColWidth="10" defaultColWidth="11.5703125" defaultRowHeight="12"/>
  <cols>
    <col min="1" max="1" width="3" style="134" bestFit="1" customWidth="1"/>
    <col min="2" max="2" width="8.5703125" style="134" bestFit="1" customWidth="1"/>
    <col min="3" max="3" width="11.140625" style="134" bestFit="1" customWidth="1"/>
    <col min="4" max="4" width="20.7109375" style="199" bestFit="1" customWidth="1"/>
    <col min="5" max="5" width="11.5703125" style="134"/>
    <col min="6" max="6" width="19" style="134" bestFit="1" customWidth="1"/>
    <col min="7" max="7" width="9.5703125" style="134" bestFit="1" customWidth="1"/>
    <col min="8" max="8" width="15.5703125" style="134" customWidth="1"/>
    <col min="9" max="9" width="5.85546875" style="134" customWidth="1"/>
    <col min="10" max="10" width="10.7109375" style="134" customWidth="1"/>
    <col min="11" max="11" width="17.28515625" style="134" customWidth="1"/>
    <col min="12" max="12" width="9.28515625" style="134" customWidth="1"/>
    <col min="13" max="13" width="10" style="134" customWidth="1"/>
    <col min="14" max="14" width="7.28515625" style="134" customWidth="1"/>
    <col min="15" max="15" width="11.5703125" style="134" customWidth="1"/>
    <col min="16" max="16" width="31.5703125" style="134" customWidth="1"/>
    <col min="17" max="17" width="15.28515625" style="134" customWidth="1"/>
    <col min="18" max="18" width="14" style="180" bestFit="1" customWidth="1"/>
    <col min="19" max="16384" width="11.5703125" style="137"/>
  </cols>
  <sheetData>
    <row r="1" spans="1:18" s="133" customFormat="1" ht="24.75" thickBot="1">
      <c r="A1" s="131" t="s">
        <v>141</v>
      </c>
      <c r="B1" s="132" t="s">
        <v>266</v>
      </c>
      <c r="C1" s="132" t="s">
        <v>143</v>
      </c>
      <c r="D1" s="203" t="s">
        <v>144</v>
      </c>
      <c r="E1" s="132" t="s">
        <v>156</v>
      </c>
      <c r="F1" s="132" t="s">
        <v>269</v>
      </c>
      <c r="G1" s="132" t="s">
        <v>278</v>
      </c>
      <c r="H1" s="132" t="s">
        <v>17</v>
      </c>
      <c r="I1" s="132" t="s">
        <v>142</v>
      </c>
      <c r="J1" s="132" t="s">
        <v>145</v>
      </c>
      <c r="K1" s="132" t="s">
        <v>146</v>
      </c>
      <c r="L1" s="132" t="s">
        <v>147</v>
      </c>
      <c r="M1" s="132" t="s">
        <v>148</v>
      </c>
      <c r="N1" s="132" t="s">
        <v>149</v>
      </c>
      <c r="O1" s="132" t="s">
        <v>150</v>
      </c>
      <c r="P1" s="132" t="s">
        <v>151</v>
      </c>
      <c r="Q1" s="132" t="s">
        <v>152</v>
      </c>
      <c r="R1" s="134"/>
    </row>
    <row r="2" spans="1:18" ht="15" hidden="1">
      <c r="A2" s="134">
        <v>47</v>
      </c>
      <c r="B2" s="134">
        <v>1</v>
      </c>
      <c r="C2" s="134" t="s">
        <v>153</v>
      </c>
      <c r="D2" s="204" t="s">
        <v>301</v>
      </c>
      <c r="E2" s="135">
        <v>46129</v>
      </c>
      <c r="F2" s="135">
        <v>45400</v>
      </c>
      <c r="G2" s="134" t="s">
        <v>281</v>
      </c>
      <c r="H2" s="134" t="s">
        <v>8</v>
      </c>
      <c r="I2" s="136">
        <v>0.33333333333333331</v>
      </c>
      <c r="J2" s="174">
        <v>950173458</v>
      </c>
      <c r="K2" s="134" t="s">
        <v>302</v>
      </c>
      <c r="L2" s="134" t="s">
        <v>105</v>
      </c>
      <c r="M2" s="134" t="s">
        <v>239</v>
      </c>
      <c r="N2" s="134">
        <v>259</v>
      </c>
      <c r="Q2" s="134" t="s">
        <v>166</v>
      </c>
      <c r="R2" s="137"/>
    </row>
    <row r="3" spans="1:18" ht="15" hidden="1">
      <c r="A3" s="134">
        <v>1</v>
      </c>
      <c r="B3" s="134">
        <v>1</v>
      </c>
      <c r="C3" s="134" t="s">
        <v>153</v>
      </c>
      <c r="D3" s="199" t="s">
        <v>168</v>
      </c>
      <c r="E3" s="135">
        <v>46069</v>
      </c>
      <c r="F3" s="135">
        <v>46069</v>
      </c>
      <c r="G3" s="135" t="s">
        <v>279</v>
      </c>
      <c r="H3" s="168" t="s">
        <v>8</v>
      </c>
      <c r="I3" s="136">
        <v>0.66666666666666663</v>
      </c>
      <c r="J3" s="134">
        <v>973074089</v>
      </c>
      <c r="K3" s="134" t="s">
        <v>159</v>
      </c>
      <c r="L3" s="134" t="s">
        <v>110</v>
      </c>
      <c r="M3" s="134" t="s">
        <v>155</v>
      </c>
      <c r="N3" s="134">
        <v>300</v>
      </c>
      <c r="Q3" s="134" t="s">
        <v>166</v>
      </c>
      <c r="R3" s="137"/>
    </row>
    <row r="4" spans="1:18" ht="15" hidden="1">
      <c r="A4" s="134">
        <v>2</v>
      </c>
      <c r="B4" s="134">
        <v>1</v>
      </c>
      <c r="C4" s="134" t="s">
        <v>153</v>
      </c>
      <c r="D4" s="199" t="s">
        <v>160</v>
      </c>
      <c r="E4" s="135">
        <v>46073</v>
      </c>
      <c r="F4" s="135">
        <v>46073</v>
      </c>
      <c r="G4" s="135" t="s">
        <v>279</v>
      </c>
      <c r="H4" s="168" t="s">
        <v>25</v>
      </c>
      <c r="I4" s="136">
        <v>0.47847222222222224</v>
      </c>
      <c r="J4" s="134">
        <v>907619577</v>
      </c>
      <c r="K4" s="134" t="s">
        <v>159</v>
      </c>
      <c r="L4" s="134" t="s">
        <v>163</v>
      </c>
      <c r="M4" s="134" t="s">
        <v>161</v>
      </c>
      <c r="N4" s="134">
        <v>130</v>
      </c>
      <c r="P4" s="134" t="s">
        <v>162</v>
      </c>
      <c r="Q4" s="134" t="s">
        <v>166</v>
      </c>
      <c r="R4" s="137"/>
    </row>
    <row r="5" spans="1:18" ht="15" hidden="1">
      <c r="A5" s="134">
        <v>3</v>
      </c>
      <c r="B5" s="134">
        <v>1</v>
      </c>
      <c r="C5" s="134" t="s">
        <v>153</v>
      </c>
      <c r="D5" s="199" t="s">
        <v>164</v>
      </c>
      <c r="E5" s="135">
        <v>46074</v>
      </c>
      <c r="F5" s="135">
        <v>46074</v>
      </c>
      <c r="G5" s="135" t="s">
        <v>279</v>
      </c>
      <c r="H5" s="168" t="s">
        <v>8</v>
      </c>
      <c r="I5" s="136">
        <v>0.5</v>
      </c>
      <c r="J5" s="134">
        <v>934457672</v>
      </c>
      <c r="K5" s="134" t="s">
        <v>159</v>
      </c>
      <c r="L5" s="134" t="s">
        <v>110</v>
      </c>
      <c r="M5" s="134" t="s">
        <v>165</v>
      </c>
      <c r="N5" s="134">
        <v>300</v>
      </c>
      <c r="O5" s="134" t="s">
        <v>158</v>
      </c>
      <c r="Q5" s="134" t="s">
        <v>166</v>
      </c>
      <c r="R5" s="137"/>
    </row>
    <row r="6" spans="1:18" ht="15" hidden="1">
      <c r="A6" s="134">
        <v>4</v>
      </c>
      <c r="B6" s="134">
        <v>1</v>
      </c>
      <c r="C6" s="134" t="s">
        <v>153</v>
      </c>
      <c r="D6" s="199" t="s">
        <v>180</v>
      </c>
      <c r="E6" s="135">
        <v>46077</v>
      </c>
      <c r="F6" s="135">
        <v>46077</v>
      </c>
      <c r="G6" s="135" t="s">
        <v>279</v>
      </c>
      <c r="H6" s="168" t="s">
        <v>8</v>
      </c>
      <c r="I6" s="136">
        <v>0.375</v>
      </c>
      <c r="J6" s="134">
        <v>910125227</v>
      </c>
      <c r="L6" s="134" t="s">
        <v>104</v>
      </c>
      <c r="M6" s="134" t="s">
        <v>171</v>
      </c>
      <c r="N6" s="134">
        <v>150</v>
      </c>
      <c r="O6" s="134" t="s">
        <v>182</v>
      </c>
      <c r="P6" s="134" t="s">
        <v>183</v>
      </c>
      <c r="Q6" s="134" t="s">
        <v>166</v>
      </c>
      <c r="R6" s="137"/>
    </row>
    <row r="7" spans="1:18" hidden="1">
      <c r="A7" s="134">
        <v>6</v>
      </c>
      <c r="B7" s="134">
        <v>1</v>
      </c>
      <c r="C7" s="159" t="s">
        <v>153</v>
      </c>
      <c r="D7" s="159" t="s">
        <v>169</v>
      </c>
      <c r="E7" s="160">
        <v>46077</v>
      </c>
      <c r="F7" s="160">
        <v>46077</v>
      </c>
      <c r="G7" s="135" t="s">
        <v>279</v>
      </c>
      <c r="H7" s="159" t="s">
        <v>8</v>
      </c>
      <c r="I7" s="161">
        <v>0.375</v>
      </c>
      <c r="J7" s="159">
        <v>999927022</v>
      </c>
      <c r="K7" s="159"/>
      <c r="L7" s="159"/>
      <c r="M7" s="159"/>
      <c r="N7" s="159"/>
      <c r="O7" s="159"/>
      <c r="P7" s="159" t="s">
        <v>232</v>
      </c>
      <c r="Q7" s="159" t="s">
        <v>167</v>
      </c>
      <c r="R7" s="137"/>
    </row>
    <row r="8" spans="1:18" ht="15" hidden="1">
      <c r="A8" s="134">
        <v>5</v>
      </c>
      <c r="B8" s="134">
        <v>1</v>
      </c>
      <c r="C8" s="134" t="s">
        <v>153</v>
      </c>
      <c r="D8" s="199" t="s">
        <v>181</v>
      </c>
      <c r="E8" s="135">
        <v>46077</v>
      </c>
      <c r="F8" s="135">
        <v>46077</v>
      </c>
      <c r="G8" s="135" t="s">
        <v>279</v>
      </c>
      <c r="H8" s="168" t="s">
        <v>8</v>
      </c>
      <c r="I8" s="136">
        <v>0.375</v>
      </c>
      <c r="J8" s="134">
        <v>995179162</v>
      </c>
      <c r="L8" s="134" t="s">
        <v>176</v>
      </c>
      <c r="M8" s="134" t="s">
        <v>171</v>
      </c>
      <c r="N8" s="134">
        <v>150</v>
      </c>
      <c r="O8" s="134" t="s">
        <v>182</v>
      </c>
      <c r="P8" s="134" t="s">
        <v>183</v>
      </c>
      <c r="Q8" s="134" t="s">
        <v>166</v>
      </c>
      <c r="R8" s="137"/>
    </row>
    <row r="9" spans="1:18" hidden="1">
      <c r="A9" s="134">
        <v>8</v>
      </c>
      <c r="B9" s="134">
        <v>1</v>
      </c>
      <c r="C9" s="159" t="s">
        <v>153</v>
      </c>
      <c r="D9" s="159" t="s">
        <v>178</v>
      </c>
      <c r="E9" s="160">
        <v>46081</v>
      </c>
      <c r="F9" s="160">
        <v>46081</v>
      </c>
      <c r="G9" s="135" t="s">
        <v>279</v>
      </c>
      <c r="H9" s="159" t="s">
        <v>8</v>
      </c>
      <c r="I9" s="161">
        <v>0.47916666666666669</v>
      </c>
      <c r="J9" s="159">
        <v>971739498</v>
      </c>
      <c r="K9" s="159" t="s">
        <v>171</v>
      </c>
      <c r="L9" s="159"/>
      <c r="M9" s="159"/>
      <c r="N9" s="159"/>
      <c r="O9" s="159"/>
      <c r="P9" s="159" t="s">
        <v>234</v>
      </c>
      <c r="Q9" s="159" t="s">
        <v>167</v>
      </c>
      <c r="R9" s="137"/>
    </row>
    <row r="10" spans="1:18" ht="15" hidden="1">
      <c r="A10" s="134">
        <v>7</v>
      </c>
      <c r="B10" s="134">
        <v>1</v>
      </c>
      <c r="C10" s="134" t="s">
        <v>153</v>
      </c>
      <c r="D10" s="199" t="s">
        <v>173</v>
      </c>
      <c r="E10" s="135">
        <v>46079</v>
      </c>
      <c r="F10" s="135">
        <v>46079</v>
      </c>
      <c r="G10" s="135" t="s">
        <v>279</v>
      </c>
      <c r="H10" s="168" t="s">
        <v>25</v>
      </c>
      <c r="I10" s="136">
        <v>0.77083333333333337</v>
      </c>
      <c r="J10" s="134">
        <v>974825147</v>
      </c>
      <c r="K10" s="134" t="s">
        <v>159</v>
      </c>
      <c r="L10" s="134" t="s">
        <v>174</v>
      </c>
      <c r="M10" s="134" t="s">
        <v>161</v>
      </c>
      <c r="N10" s="134">
        <v>200</v>
      </c>
      <c r="Q10" s="134" t="s">
        <v>166</v>
      </c>
      <c r="R10" s="137"/>
    </row>
    <row r="11" spans="1:18" ht="15" hidden="1">
      <c r="A11" s="134">
        <v>10</v>
      </c>
      <c r="B11" s="134">
        <v>1</v>
      </c>
      <c r="C11" s="159" t="s">
        <v>153</v>
      </c>
      <c r="D11" s="159" t="s">
        <v>175</v>
      </c>
      <c r="E11" s="160">
        <v>46071</v>
      </c>
      <c r="F11" s="160">
        <v>46085</v>
      </c>
      <c r="G11" s="135" t="s">
        <v>280</v>
      </c>
      <c r="H11" s="169" t="s">
        <v>8</v>
      </c>
      <c r="I11" s="161">
        <v>0.39583333333333331</v>
      </c>
      <c r="J11" s="159">
        <v>905625593</v>
      </c>
      <c r="K11" s="159" t="s">
        <v>159</v>
      </c>
      <c r="L11" s="159" t="s">
        <v>176</v>
      </c>
      <c r="M11" s="159" t="s">
        <v>155</v>
      </c>
      <c r="N11" s="159"/>
      <c r="O11" s="159" t="s">
        <v>177</v>
      </c>
      <c r="P11" s="159" t="s">
        <v>233</v>
      </c>
      <c r="Q11" s="159" t="s">
        <v>189</v>
      </c>
      <c r="R11" s="137"/>
    </row>
    <row r="12" spans="1:18" ht="15" hidden="1">
      <c r="A12" s="134">
        <v>9</v>
      </c>
      <c r="B12" s="134">
        <v>1</v>
      </c>
      <c r="C12" s="134" t="s">
        <v>153</v>
      </c>
      <c r="D12" s="199" t="s">
        <v>179</v>
      </c>
      <c r="E12" s="135">
        <v>46082</v>
      </c>
      <c r="F12" s="135">
        <v>46082</v>
      </c>
      <c r="G12" s="135" t="s">
        <v>280</v>
      </c>
      <c r="H12" s="168" t="s">
        <v>8</v>
      </c>
      <c r="I12" s="136">
        <v>0.72916666666666663</v>
      </c>
      <c r="J12" s="134">
        <v>943576314</v>
      </c>
      <c r="K12" s="134" t="s">
        <v>171</v>
      </c>
      <c r="L12" s="134" t="s">
        <v>176</v>
      </c>
      <c r="M12" s="134" t="s">
        <v>161</v>
      </c>
      <c r="N12" s="134">
        <v>129</v>
      </c>
      <c r="O12" s="134" t="s">
        <v>158</v>
      </c>
      <c r="Q12" s="134" t="s">
        <v>166</v>
      </c>
      <c r="R12" s="137"/>
    </row>
    <row r="13" spans="1:18" ht="15" hidden="1">
      <c r="A13" s="134">
        <v>11</v>
      </c>
      <c r="B13" s="134">
        <v>1</v>
      </c>
      <c r="C13" s="134" t="s">
        <v>153</v>
      </c>
      <c r="D13" s="199" t="s">
        <v>184</v>
      </c>
      <c r="E13" s="135">
        <v>46084</v>
      </c>
      <c r="F13" s="135">
        <v>46085</v>
      </c>
      <c r="G13" s="135" t="s">
        <v>280</v>
      </c>
      <c r="H13" s="168" t="s">
        <v>8</v>
      </c>
      <c r="I13" s="136">
        <v>0.375</v>
      </c>
      <c r="J13" s="134">
        <v>962287036</v>
      </c>
      <c r="K13" s="134" t="s">
        <v>171</v>
      </c>
      <c r="L13" s="134" t="s">
        <v>110</v>
      </c>
      <c r="M13" s="134" t="s">
        <v>171</v>
      </c>
      <c r="N13" s="134">
        <v>150</v>
      </c>
      <c r="P13" s="134" t="s">
        <v>186</v>
      </c>
      <c r="Q13" s="134" t="s">
        <v>166</v>
      </c>
      <c r="R13" s="137"/>
    </row>
    <row r="14" spans="1:18" ht="15" hidden="1">
      <c r="A14" s="134">
        <v>12</v>
      </c>
      <c r="B14" s="134">
        <v>1</v>
      </c>
      <c r="C14" s="134" t="s">
        <v>153</v>
      </c>
      <c r="D14" s="199" t="s">
        <v>185</v>
      </c>
      <c r="E14" s="135">
        <v>46084</v>
      </c>
      <c r="F14" s="135">
        <v>46085</v>
      </c>
      <c r="G14" s="135" t="s">
        <v>280</v>
      </c>
      <c r="H14" s="168" t="s">
        <v>8</v>
      </c>
      <c r="I14" s="136">
        <v>0.375</v>
      </c>
      <c r="J14" s="134">
        <v>962287036</v>
      </c>
      <c r="K14" s="134" t="s">
        <v>171</v>
      </c>
      <c r="L14" s="134" t="s">
        <v>104</v>
      </c>
      <c r="M14" s="134" t="s">
        <v>171</v>
      </c>
      <c r="N14" s="134">
        <v>150</v>
      </c>
      <c r="P14" s="134" t="s">
        <v>186</v>
      </c>
      <c r="Q14" s="134" t="s">
        <v>166</v>
      </c>
      <c r="R14" s="137"/>
    </row>
    <row r="15" spans="1:18" ht="15" hidden="1">
      <c r="A15" s="134">
        <v>14</v>
      </c>
      <c r="B15" s="134">
        <v>1</v>
      </c>
      <c r="C15" s="134" t="s">
        <v>153</v>
      </c>
      <c r="D15" s="134" t="s">
        <v>154</v>
      </c>
      <c r="E15" s="135">
        <v>46069</v>
      </c>
      <c r="F15" s="135">
        <v>46087</v>
      </c>
      <c r="G15" s="135" t="s">
        <v>280</v>
      </c>
      <c r="H15" s="168" t="s">
        <v>8</v>
      </c>
      <c r="I15" s="136">
        <v>0.70833333333333337</v>
      </c>
      <c r="J15" s="134">
        <v>994980853</v>
      </c>
      <c r="K15" s="134" t="s">
        <v>159</v>
      </c>
      <c r="L15" s="134" t="s">
        <v>109</v>
      </c>
      <c r="M15" s="134" t="s">
        <v>155</v>
      </c>
      <c r="N15" s="134">
        <v>300</v>
      </c>
      <c r="O15" s="134" t="s">
        <v>158</v>
      </c>
      <c r="P15" s="134" t="s">
        <v>157</v>
      </c>
      <c r="Q15" s="134" t="s">
        <v>227</v>
      </c>
      <c r="R15" s="137"/>
    </row>
    <row r="16" spans="1:18" hidden="1">
      <c r="A16" s="134">
        <v>15</v>
      </c>
      <c r="B16" s="134">
        <v>1</v>
      </c>
      <c r="C16" s="134" t="s">
        <v>153</v>
      </c>
      <c r="D16" s="134" t="s">
        <v>113</v>
      </c>
      <c r="E16" s="135">
        <v>46079</v>
      </c>
      <c r="F16" s="135">
        <v>46093</v>
      </c>
      <c r="G16" s="135" t="s">
        <v>280</v>
      </c>
      <c r="H16" s="134" t="s">
        <v>8</v>
      </c>
      <c r="J16" s="134">
        <v>945679223</v>
      </c>
      <c r="K16" s="134" t="s">
        <v>161</v>
      </c>
      <c r="L16" s="134" t="s">
        <v>105</v>
      </c>
      <c r="M16" s="134" t="s">
        <v>161</v>
      </c>
      <c r="N16" s="134">
        <v>200</v>
      </c>
      <c r="O16" s="134">
        <v>3</v>
      </c>
      <c r="P16" s="134" t="s">
        <v>217</v>
      </c>
      <c r="Q16" s="134" t="s">
        <v>227</v>
      </c>
      <c r="R16" s="137"/>
    </row>
    <row r="17" spans="1:17" s="137" customFormat="1" ht="15" hidden="1">
      <c r="A17" s="134">
        <v>16</v>
      </c>
      <c r="B17" s="134">
        <v>1</v>
      </c>
      <c r="C17" s="159" t="s">
        <v>153</v>
      </c>
      <c r="D17" s="159" t="s">
        <v>154</v>
      </c>
      <c r="E17" s="160">
        <v>46069</v>
      </c>
      <c r="F17" s="160">
        <v>46093</v>
      </c>
      <c r="G17" s="135" t="s">
        <v>280</v>
      </c>
      <c r="H17" s="169" t="s">
        <v>8</v>
      </c>
      <c r="I17" s="161">
        <v>0.66666666666666663</v>
      </c>
      <c r="J17" s="159">
        <v>994980853</v>
      </c>
      <c r="K17" s="159" t="s">
        <v>159</v>
      </c>
      <c r="L17" s="159" t="s">
        <v>109</v>
      </c>
      <c r="M17" s="159" t="s">
        <v>155</v>
      </c>
      <c r="N17" s="159"/>
      <c r="O17" s="159" t="s">
        <v>158</v>
      </c>
      <c r="P17" s="159" t="s">
        <v>235</v>
      </c>
      <c r="Q17" s="159" t="s">
        <v>189</v>
      </c>
    </row>
    <row r="18" spans="1:17" s="137" customFormat="1" ht="15" hidden="1">
      <c r="A18" s="134">
        <v>13</v>
      </c>
      <c r="B18" s="134">
        <v>1</v>
      </c>
      <c r="C18" s="134" t="s">
        <v>153</v>
      </c>
      <c r="D18" s="199" t="s">
        <v>187</v>
      </c>
      <c r="E18" s="135">
        <v>46084</v>
      </c>
      <c r="F18" s="135">
        <v>46085</v>
      </c>
      <c r="G18" s="135" t="s">
        <v>280</v>
      </c>
      <c r="H18" s="168" t="s">
        <v>8</v>
      </c>
      <c r="I18" s="136">
        <v>0.39583333333333331</v>
      </c>
      <c r="J18" s="134">
        <v>923894089</v>
      </c>
      <c r="K18" s="134" t="s">
        <v>190</v>
      </c>
      <c r="L18" s="134" t="s">
        <v>104</v>
      </c>
      <c r="M18" s="134" t="s">
        <v>213</v>
      </c>
      <c r="N18" s="134">
        <v>480</v>
      </c>
      <c r="O18" s="134"/>
      <c r="P18" s="134" t="s">
        <v>188</v>
      </c>
      <c r="Q18" s="134" t="s">
        <v>166</v>
      </c>
    </row>
    <row r="19" spans="1:17" s="137" customFormat="1" ht="15" hidden="1">
      <c r="A19" s="134">
        <v>17</v>
      </c>
      <c r="B19" s="134">
        <v>1</v>
      </c>
      <c r="C19" s="134" t="s">
        <v>153</v>
      </c>
      <c r="D19" s="199" t="s">
        <v>218</v>
      </c>
      <c r="E19" s="135">
        <v>46092</v>
      </c>
      <c r="F19" s="135">
        <v>46094</v>
      </c>
      <c r="G19" s="135" t="s">
        <v>280</v>
      </c>
      <c r="H19" s="168" t="s">
        <v>8</v>
      </c>
      <c r="I19" s="136">
        <v>0.41666666666666669</v>
      </c>
      <c r="J19" s="134">
        <v>949043866</v>
      </c>
      <c r="K19" s="134" t="s">
        <v>161</v>
      </c>
      <c r="L19" s="134" t="s">
        <v>105</v>
      </c>
      <c r="M19" s="134" t="s">
        <v>161</v>
      </c>
      <c r="N19" s="134">
        <v>130</v>
      </c>
      <c r="O19" s="134"/>
      <c r="P19" s="134" t="s">
        <v>219</v>
      </c>
      <c r="Q19" s="134" t="s">
        <v>166</v>
      </c>
    </row>
    <row r="20" spans="1:17" s="137" customFormat="1" ht="15" hidden="1">
      <c r="A20" s="134">
        <v>18</v>
      </c>
      <c r="B20" s="134">
        <v>1</v>
      </c>
      <c r="C20" s="162" t="s">
        <v>153</v>
      </c>
      <c r="D20" s="200" t="s">
        <v>228</v>
      </c>
      <c r="E20" s="163">
        <v>46092</v>
      </c>
      <c r="F20" s="163">
        <v>46094</v>
      </c>
      <c r="G20" s="135" t="s">
        <v>280</v>
      </c>
      <c r="H20" s="170" t="s">
        <v>8</v>
      </c>
      <c r="I20" s="164">
        <v>0.45833333333333331</v>
      </c>
      <c r="J20" s="162">
        <v>900587331</v>
      </c>
      <c r="K20" s="162" t="s">
        <v>161</v>
      </c>
      <c r="L20" s="162"/>
      <c r="M20" s="162" t="s">
        <v>161</v>
      </c>
      <c r="N20" s="162">
        <v>150</v>
      </c>
      <c r="O20" s="162"/>
      <c r="P20" s="162" t="s">
        <v>229</v>
      </c>
      <c r="Q20" s="162" t="s">
        <v>166</v>
      </c>
    </row>
    <row r="21" spans="1:17" s="137" customFormat="1" ht="15" hidden="1">
      <c r="A21" s="134">
        <v>19</v>
      </c>
      <c r="B21" s="134">
        <v>1</v>
      </c>
      <c r="C21" s="162" t="s">
        <v>153</v>
      </c>
      <c r="D21" s="200" t="s">
        <v>230</v>
      </c>
      <c r="E21" s="163">
        <v>46093</v>
      </c>
      <c r="F21" s="163">
        <v>46094</v>
      </c>
      <c r="G21" s="135" t="s">
        <v>280</v>
      </c>
      <c r="H21" s="170" t="s">
        <v>8</v>
      </c>
      <c r="I21" s="164">
        <v>6.25E-2</v>
      </c>
      <c r="J21" s="162">
        <v>996229092</v>
      </c>
      <c r="K21" s="162" t="s">
        <v>161</v>
      </c>
      <c r="L21" s="162" t="s">
        <v>238</v>
      </c>
      <c r="M21" s="162" t="s">
        <v>239</v>
      </c>
      <c r="N21" s="162">
        <v>200</v>
      </c>
      <c r="O21" s="162"/>
      <c r="P21" s="162" t="s">
        <v>231</v>
      </c>
      <c r="Q21" s="162" t="s">
        <v>166</v>
      </c>
    </row>
    <row r="22" spans="1:17" s="137" customFormat="1" ht="15" hidden="1">
      <c r="A22" s="134">
        <v>20</v>
      </c>
      <c r="B22" s="134">
        <v>1</v>
      </c>
      <c r="C22" s="162" t="s">
        <v>97</v>
      </c>
      <c r="D22" s="200" t="s">
        <v>220</v>
      </c>
      <c r="E22" s="163">
        <v>46092</v>
      </c>
      <c r="F22" s="163">
        <v>46096</v>
      </c>
      <c r="G22" s="135" t="s">
        <v>280</v>
      </c>
      <c r="H22" s="170" t="s">
        <v>25</v>
      </c>
      <c r="I22" s="162"/>
      <c r="J22" s="162">
        <v>924689186</v>
      </c>
      <c r="K22" s="162" t="s">
        <v>223</v>
      </c>
      <c r="L22" s="162"/>
      <c r="M22" s="162" t="s">
        <v>240</v>
      </c>
      <c r="N22" s="162">
        <v>200</v>
      </c>
      <c r="O22" s="162">
        <v>5</v>
      </c>
      <c r="P22" s="162" t="s">
        <v>224</v>
      </c>
      <c r="Q22" s="162" t="s">
        <v>166</v>
      </c>
    </row>
    <row r="23" spans="1:17" s="165" customFormat="1" ht="15" hidden="1">
      <c r="A23" s="134">
        <v>21</v>
      </c>
      <c r="B23" s="134">
        <v>1</v>
      </c>
      <c r="C23" s="162" t="s">
        <v>97</v>
      </c>
      <c r="D23" s="200" t="s">
        <v>221</v>
      </c>
      <c r="E23" s="163">
        <v>46092</v>
      </c>
      <c r="F23" s="163">
        <v>46096</v>
      </c>
      <c r="G23" s="135" t="s">
        <v>280</v>
      </c>
      <c r="H23" s="170" t="s">
        <v>25</v>
      </c>
      <c r="I23" s="162"/>
      <c r="J23" s="162">
        <v>924689186</v>
      </c>
      <c r="K23" s="162" t="s">
        <v>223</v>
      </c>
      <c r="L23" s="162"/>
      <c r="M23" s="162" t="s">
        <v>240</v>
      </c>
      <c r="N23" s="162">
        <v>200</v>
      </c>
      <c r="O23" s="162">
        <v>5</v>
      </c>
      <c r="P23" s="162" t="s">
        <v>224</v>
      </c>
      <c r="Q23" s="162" t="s">
        <v>166</v>
      </c>
    </row>
    <row r="24" spans="1:17" s="165" customFormat="1" ht="15" hidden="1">
      <c r="A24" s="134">
        <v>22</v>
      </c>
      <c r="B24" s="134">
        <v>1</v>
      </c>
      <c r="C24" s="162" t="s">
        <v>97</v>
      </c>
      <c r="D24" s="200" t="s">
        <v>222</v>
      </c>
      <c r="E24" s="163">
        <v>46092</v>
      </c>
      <c r="F24" s="163">
        <v>46096</v>
      </c>
      <c r="G24" s="135" t="s">
        <v>280</v>
      </c>
      <c r="H24" s="170" t="s">
        <v>25</v>
      </c>
      <c r="I24" s="162"/>
      <c r="J24" s="162">
        <v>924689186</v>
      </c>
      <c r="K24" s="162" t="s">
        <v>223</v>
      </c>
      <c r="L24" s="162"/>
      <c r="M24" s="162" t="s">
        <v>240</v>
      </c>
      <c r="N24" s="162">
        <v>200</v>
      </c>
      <c r="O24" s="162">
        <v>5</v>
      </c>
      <c r="P24" s="162" t="s">
        <v>224</v>
      </c>
      <c r="Q24" s="162" t="s">
        <v>166</v>
      </c>
    </row>
    <row r="25" spans="1:17" s="137" customFormat="1" ht="15" hidden="1">
      <c r="A25" s="134">
        <v>23</v>
      </c>
      <c r="B25" s="134">
        <v>1</v>
      </c>
      <c r="C25" s="134" t="s">
        <v>153</v>
      </c>
      <c r="D25" s="199" t="s">
        <v>245</v>
      </c>
      <c r="E25" s="135">
        <v>46099</v>
      </c>
      <c r="F25" s="135">
        <v>46099</v>
      </c>
      <c r="G25" s="135" t="s">
        <v>280</v>
      </c>
      <c r="H25" s="168" t="s">
        <v>8</v>
      </c>
      <c r="I25" s="136">
        <v>0.16666666666666666</v>
      </c>
      <c r="J25" s="134">
        <v>973673389</v>
      </c>
      <c r="K25" s="134" t="s">
        <v>244</v>
      </c>
      <c r="L25" s="134" t="s">
        <v>176</v>
      </c>
      <c r="M25" s="134" t="s">
        <v>239</v>
      </c>
      <c r="N25" s="134">
        <v>200</v>
      </c>
      <c r="O25" s="134"/>
      <c r="P25" s="134"/>
      <c r="Q25" s="134" t="s">
        <v>166</v>
      </c>
    </row>
    <row r="26" spans="1:17" s="165" customFormat="1" ht="15" hidden="1">
      <c r="A26" s="134">
        <v>24</v>
      </c>
      <c r="B26" s="134">
        <v>1</v>
      </c>
      <c r="C26" s="134" t="s">
        <v>153</v>
      </c>
      <c r="D26" s="199" t="s">
        <v>246</v>
      </c>
      <c r="E26" s="134"/>
      <c r="F26" s="135">
        <v>46100</v>
      </c>
      <c r="G26" s="135" t="s">
        <v>280</v>
      </c>
      <c r="H26" s="168" t="s">
        <v>11</v>
      </c>
      <c r="I26" s="136">
        <v>0.125</v>
      </c>
      <c r="J26" s="134">
        <v>983374130</v>
      </c>
      <c r="K26" s="134" t="s">
        <v>247</v>
      </c>
      <c r="L26" s="134" t="s">
        <v>86</v>
      </c>
      <c r="M26" s="134" t="s">
        <v>247</v>
      </c>
      <c r="N26" s="134">
        <v>250</v>
      </c>
      <c r="O26" s="134"/>
      <c r="P26" s="134"/>
      <c r="Q26" s="134" t="s">
        <v>166</v>
      </c>
    </row>
    <row r="27" spans="1:17" s="137" customFormat="1" hidden="1">
      <c r="A27" s="134">
        <v>26</v>
      </c>
      <c r="B27" s="134">
        <v>1</v>
      </c>
      <c r="C27" s="159" t="s">
        <v>97</v>
      </c>
      <c r="D27" s="159" t="s">
        <v>241</v>
      </c>
      <c r="E27" s="160">
        <v>46093</v>
      </c>
      <c r="F27" s="160">
        <v>46102</v>
      </c>
      <c r="G27" s="135" t="s">
        <v>280</v>
      </c>
      <c r="H27" s="159" t="s">
        <v>7</v>
      </c>
      <c r="I27" s="161">
        <v>0.10416666666666667</v>
      </c>
      <c r="J27" s="159">
        <v>991240944</v>
      </c>
      <c r="K27" s="159" t="s">
        <v>242</v>
      </c>
      <c r="L27" s="159"/>
      <c r="M27" s="159"/>
      <c r="N27" s="159"/>
      <c r="O27" s="159"/>
      <c r="P27" s="159">
        <v>250</v>
      </c>
      <c r="Q27" s="159" t="s">
        <v>257</v>
      </c>
    </row>
    <row r="28" spans="1:17" s="137" customFormat="1" ht="15" hidden="1">
      <c r="A28" s="134">
        <v>25</v>
      </c>
      <c r="B28" s="134">
        <v>1</v>
      </c>
      <c r="C28" s="134" t="s">
        <v>153</v>
      </c>
      <c r="D28" s="199" t="s">
        <v>255</v>
      </c>
      <c r="E28" s="135">
        <v>46101</v>
      </c>
      <c r="F28" s="135">
        <v>46101</v>
      </c>
      <c r="G28" s="135" t="s">
        <v>280</v>
      </c>
      <c r="H28" s="168" t="s">
        <v>8</v>
      </c>
      <c r="I28" s="136">
        <v>0.125</v>
      </c>
      <c r="J28" s="134">
        <v>921899245</v>
      </c>
      <c r="K28" s="134" t="s">
        <v>161</v>
      </c>
      <c r="L28" s="134" t="s">
        <v>104</v>
      </c>
      <c r="M28" s="134" t="s">
        <v>256</v>
      </c>
      <c r="N28" s="134">
        <v>159</v>
      </c>
      <c r="O28" s="134"/>
      <c r="P28" s="134"/>
      <c r="Q28" s="134" t="s">
        <v>166</v>
      </c>
    </row>
    <row r="29" spans="1:17" s="137" customFormat="1" ht="15" hidden="1">
      <c r="A29" s="134">
        <v>28</v>
      </c>
      <c r="B29" s="134">
        <v>1</v>
      </c>
      <c r="C29" s="159" t="s">
        <v>153</v>
      </c>
      <c r="D29" s="159" t="s">
        <v>248</v>
      </c>
      <c r="E29" s="159"/>
      <c r="F29" s="160">
        <v>46102</v>
      </c>
      <c r="G29" s="135" t="s">
        <v>280</v>
      </c>
      <c r="H29" s="169" t="s">
        <v>25</v>
      </c>
      <c r="I29" s="161">
        <v>0.3125</v>
      </c>
      <c r="J29" s="159">
        <v>992508954</v>
      </c>
      <c r="K29" s="159"/>
      <c r="L29" s="159"/>
      <c r="M29" s="159" t="s">
        <v>161</v>
      </c>
      <c r="N29" s="159"/>
      <c r="O29" s="159"/>
      <c r="P29" s="159" t="s">
        <v>249</v>
      </c>
      <c r="Q29" s="159" t="s">
        <v>189</v>
      </c>
    </row>
    <row r="30" spans="1:17" s="167" customFormat="1" ht="15" hidden="1">
      <c r="A30" s="134">
        <v>27</v>
      </c>
      <c r="B30" s="134">
        <v>1</v>
      </c>
      <c r="C30" s="162" t="s">
        <v>97</v>
      </c>
      <c r="D30" s="200" t="s">
        <v>243</v>
      </c>
      <c r="E30" s="163">
        <v>46098</v>
      </c>
      <c r="F30" s="163">
        <v>46102</v>
      </c>
      <c r="G30" s="135" t="s">
        <v>280</v>
      </c>
      <c r="H30" s="170" t="s">
        <v>8</v>
      </c>
      <c r="I30" s="164">
        <v>8.3333333333333329E-2</v>
      </c>
      <c r="J30" s="162">
        <v>902775326</v>
      </c>
      <c r="K30" s="162" t="s">
        <v>161</v>
      </c>
      <c r="L30" s="162" t="s">
        <v>110</v>
      </c>
      <c r="M30" s="162" t="s">
        <v>161</v>
      </c>
      <c r="N30" s="162">
        <v>250</v>
      </c>
      <c r="O30" s="162"/>
      <c r="P30" s="162">
        <v>129</v>
      </c>
      <c r="Q30" s="162" t="s">
        <v>166</v>
      </c>
    </row>
    <row r="31" spans="1:17" s="167" customFormat="1" ht="15" hidden="1">
      <c r="A31" s="134">
        <v>29</v>
      </c>
      <c r="B31" s="134">
        <v>1</v>
      </c>
      <c r="C31" s="134" t="s">
        <v>153</v>
      </c>
      <c r="D31" s="199" t="s">
        <v>251</v>
      </c>
      <c r="E31" s="135">
        <v>46101</v>
      </c>
      <c r="F31" s="135">
        <v>46102</v>
      </c>
      <c r="G31" s="135" t="s">
        <v>280</v>
      </c>
      <c r="H31" s="168" t="s">
        <v>8</v>
      </c>
      <c r="I31" s="136">
        <v>0.4375</v>
      </c>
      <c r="J31" s="134">
        <v>932017709</v>
      </c>
      <c r="K31" s="134" t="s">
        <v>252</v>
      </c>
      <c r="L31" s="134" t="s">
        <v>110</v>
      </c>
      <c r="M31" s="134" t="s">
        <v>252</v>
      </c>
      <c r="N31" s="134">
        <v>350</v>
      </c>
      <c r="O31" s="134"/>
      <c r="P31" s="134" t="s">
        <v>253</v>
      </c>
      <c r="Q31" s="134" t="s">
        <v>166</v>
      </c>
    </row>
    <row r="32" spans="1:17" s="137" customFormat="1" ht="15" hidden="1">
      <c r="A32" s="134">
        <v>30</v>
      </c>
      <c r="B32" s="134">
        <v>1</v>
      </c>
      <c r="C32" s="134" t="s">
        <v>153</v>
      </c>
      <c r="D32" s="199" t="s">
        <v>282</v>
      </c>
      <c r="E32" s="135">
        <v>46103</v>
      </c>
      <c r="F32" s="135">
        <v>46103</v>
      </c>
      <c r="G32" s="135" t="s">
        <v>280</v>
      </c>
      <c r="H32" s="173" t="s">
        <v>9</v>
      </c>
      <c r="I32" s="136">
        <v>0.20833333333333334</v>
      </c>
      <c r="J32" s="134">
        <v>979289184</v>
      </c>
      <c r="K32" s="134"/>
      <c r="L32" s="134" t="s">
        <v>207</v>
      </c>
      <c r="M32" s="134" t="s">
        <v>283</v>
      </c>
      <c r="N32" s="134">
        <v>250</v>
      </c>
      <c r="O32" s="134"/>
      <c r="P32" s="134"/>
      <c r="Q32" s="134" t="s">
        <v>166</v>
      </c>
    </row>
    <row r="33" spans="1:17" s="167" customFormat="1" ht="15" hidden="1">
      <c r="A33" s="134">
        <v>31</v>
      </c>
      <c r="B33" s="134">
        <v>1</v>
      </c>
      <c r="C33" s="134" t="s">
        <v>153</v>
      </c>
      <c r="D33" s="199" t="s">
        <v>170</v>
      </c>
      <c r="E33" s="135">
        <v>46106</v>
      </c>
      <c r="F33" s="135">
        <v>46106</v>
      </c>
      <c r="G33" s="135" t="s">
        <v>280</v>
      </c>
      <c r="H33" s="168" t="s">
        <v>8</v>
      </c>
      <c r="I33" s="136">
        <v>0.33333333333333331</v>
      </c>
      <c r="J33" s="134">
        <v>906397224</v>
      </c>
      <c r="K33" s="134" t="s">
        <v>171</v>
      </c>
      <c r="L33" s="134" t="s">
        <v>105</v>
      </c>
      <c r="M33" s="134" t="s">
        <v>172</v>
      </c>
      <c r="N33" s="134">
        <v>300</v>
      </c>
      <c r="O33" s="134"/>
      <c r="P33" s="134"/>
      <c r="Q33" s="134" t="s">
        <v>166</v>
      </c>
    </row>
    <row r="34" spans="1:17" s="137" customFormat="1" ht="15" hidden="1">
      <c r="A34" s="134">
        <v>32</v>
      </c>
      <c r="B34" s="134">
        <v>1</v>
      </c>
      <c r="C34" s="134" t="s">
        <v>254</v>
      </c>
      <c r="D34" s="199" t="s">
        <v>258</v>
      </c>
      <c r="E34" s="135">
        <v>46113</v>
      </c>
      <c r="F34" s="135">
        <v>46113</v>
      </c>
      <c r="G34" s="135" t="s">
        <v>281</v>
      </c>
      <c r="H34" s="168" t="s">
        <v>259</v>
      </c>
      <c r="I34" s="136">
        <v>0.25</v>
      </c>
      <c r="J34" s="134">
        <v>95000751</v>
      </c>
      <c r="K34" s="134" t="s">
        <v>171</v>
      </c>
      <c r="L34" s="134" t="s">
        <v>268</v>
      </c>
      <c r="M34" s="134" t="s">
        <v>172</v>
      </c>
      <c r="N34" s="134">
        <v>130</v>
      </c>
      <c r="O34" s="134"/>
      <c r="P34" s="134" t="s">
        <v>260</v>
      </c>
      <c r="Q34" s="134" t="s">
        <v>166</v>
      </c>
    </row>
    <row r="35" spans="1:17" s="137" customFormat="1" ht="15" hidden="1">
      <c r="A35" s="134">
        <v>33</v>
      </c>
      <c r="B35" s="134">
        <v>1</v>
      </c>
      <c r="C35" s="134" t="s">
        <v>153</v>
      </c>
      <c r="D35" s="199" t="s">
        <v>261</v>
      </c>
      <c r="E35" s="135">
        <v>46113</v>
      </c>
      <c r="F35" s="135">
        <v>46114</v>
      </c>
      <c r="G35" s="135" t="s">
        <v>281</v>
      </c>
      <c r="H35" s="168" t="s">
        <v>8</v>
      </c>
      <c r="I35" s="136">
        <v>0.16666666666666666</v>
      </c>
      <c r="J35" s="134">
        <v>927331801</v>
      </c>
      <c r="K35" s="134" t="s">
        <v>171</v>
      </c>
      <c r="L35" s="134" t="s">
        <v>176</v>
      </c>
      <c r="M35" s="134" t="s">
        <v>161</v>
      </c>
      <c r="N35" s="134">
        <v>179</v>
      </c>
      <c r="O35" s="134"/>
      <c r="P35" s="134"/>
      <c r="Q35" s="134" t="s">
        <v>166</v>
      </c>
    </row>
    <row r="36" spans="1:17" s="137" customFormat="1" hidden="1">
      <c r="A36" s="134">
        <v>34</v>
      </c>
      <c r="B36" s="134">
        <v>1</v>
      </c>
      <c r="C36" s="134" t="s">
        <v>97</v>
      </c>
      <c r="D36" s="199" t="s">
        <v>267</v>
      </c>
      <c r="E36" s="135">
        <v>46114</v>
      </c>
      <c r="F36" s="135">
        <v>46116</v>
      </c>
      <c r="G36" s="135" t="s">
        <v>281</v>
      </c>
      <c r="H36" s="134" t="s">
        <v>8</v>
      </c>
      <c r="I36" s="136">
        <v>0.45833333333333331</v>
      </c>
      <c r="J36" s="134">
        <v>901662596</v>
      </c>
      <c r="K36" s="134"/>
      <c r="L36" s="134" t="s">
        <v>104</v>
      </c>
      <c r="M36" s="134" t="s">
        <v>172</v>
      </c>
      <c r="N36" s="134">
        <v>299</v>
      </c>
      <c r="O36" s="134"/>
      <c r="P36" s="134"/>
      <c r="Q36" s="134" t="s">
        <v>166</v>
      </c>
    </row>
    <row r="37" spans="1:17" s="165" customFormat="1" ht="15" hidden="1">
      <c r="A37" s="134">
        <v>36</v>
      </c>
      <c r="B37" s="162">
        <v>1</v>
      </c>
      <c r="C37" s="162" t="s">
        <v>153</v>
      </c>
      <c r="D37" s="162" t="s">
        <v>262</v>
      </c>
      <c r="E37" s="162"/>
      <c r="F37" s="163">
        <v>46119</v>
      </c>
      <c r="G37" s="163" t="s">
        <v>281</v>
      </c>
      <c r="H37" s="170" t="s">
        <v>9</v>
      </c>
      <c r="I37" s="164">
        <v>0.16666666666666666</v>
      </c>
      <c r="J37" s="162">
        <v>907987339</v>
      </c>
      <c r="K37" s="162"/>
      <c r="L37" s="162"/>
      <c r="M37" s="162"/>
      <c r="N37" s="162"/>
      <c r="O37" s="162"/>
      <c r="P37" s="162" t="s">
        <v>263</v>
      </c>
      <c r="Q37" s="162" t="s">
        <v>227</v>
      </c>
    </row>
    <row r="38" spans="1:17" s="137" customFormat="1" ht="15" hidden="1">
      <c r="A38" s="134">
        <v>35</v>
      </c>
      <c r="B38" s="134">
        <v>1</v>
      </c>
      <c r="C38" s="134" t="s">
        <v>153</v>
      </c>
      <c r="D38" s="199" t="s">
        <v>276</v>
      </c>
      <c r="E38" s="135">
        <v>46118</v>
      </c>
      <c r="F38" s="135">
        <v>46118</v>
      </c>
      <c r="G38" s="135" t="s">
        <v>281</v>
      </c>
      <c r="H38" s="173" t="s">
        <v>8</v>
      </c>
      <c r="I38" s="136">
        <v>0.125</v>
      </c>
      <c r="J38" s="134">
        <v>902457142</v>
      </c>
      <c r="K38" s="134" t="s">
        <v>161</v>
      </c>
      <c r="L38" s="134" t="s">
        <v>110</v>
      </c>
      <c r="M38" s="134" t="s">
        <v>277</v>
      </c>
      <c r="N38" s="134">
        <v>279</v>
      </c>
      <c r="O38" s="134"/>
      <c r="P38" s="134"/>
      <c r="Q38" s="134" t="s">
        <v>166</v>
      </c>
    </row>
    <row r="39" spans="1:17" s="137" customFormat="1" hidden="1">
      <c r="A39" s="134">
        <v>37</v>
      </c>
      <c r="B39" s="134">
        <v>1</v>
      </c>
      <c r="C39" s="134" t="s">
        <v>153</v>
      </c>
      <c r="D39" s="199" t="s">
        <v>274</v>
      </c>
      <c r="E39" s="135">
        <v>46119</v>
      </c>
      <c r="F39" s="135">
        <v>46120</v>
      </c>
      <c r="G39" s="135" t="s">
        <v>281</v>
      </c>
      <c r="H39" s="134" t="s">
        <v>8</v>
      </c>
      <c r="I39" s="136">
        <v>0.33333333333333331</v>
      </c>
      <c r="J39" s="134">
        <v>901117630</v>
      </c>
      <c r="K39" s="134" t="s">
        <v>161</v>
      </c>
      <c r="L39" s="134" t="s">
        <v>104</v>
      </c>
      <c r="M39" s="134" t="s">
        <v>171</v>
      </c>
      <c r="N39" s="134">
        <v>199</v>
      </c>
      <c r="O39" s="134"/>
      <c r="P39" s="134"/>
      <c r="Q39" s="134" t="s">
        <v>166</v>
      </c>
    </row>
    <row r="40" spans="1:17" s="137" customFormat="1" ht="15" hidden="1">
      <c r="A40" s="134">
        <v>38</v>
      </c>
      <c r="B40" s="162">
        <v>1</v>
      </c>
      <c r="C40" s="162" t="s">
        <v>254</v>
      </c>
      <c r="D40" s="200" t="s">
        <v>264</v>
      </c>
      <c r="E40" s="163">
        <v>46114</v>
      </c>
      <c r="F40" s="163">
        <v>46121</v>
      </c>
      <c r="G40" s="135" t="s">
        <v>281</v>
      </c>
      <c r="H40" s="170" t="s">
        <v>259</v>
      </c>
      <c r="I40" s="164">
        <v>0.41666666666666669</v>
      </c>
      <c r="J40" s="162">
        <v>975612340</v>
      </c>
      <c r="K40" s="162" t="s">
        <v>265</v>
      </c>
      <c r="L40" s="162" t="s">
        <v>286</v>
      </c>
      <c r="M40" s="162" t="s">
        <v>287</v>
      </c>
      <c r="N40" s="162">
        <v>180</v>
      </c>
      <c r="O40" s="162"/>
      <c r="P40" s="162"/>
      <c r="Q40" s="162" t="s">
        <v>166</v>
      </c>
    </row>
    <row r="41" spans="1:17" s="137" customFormat="1" hidden="1">
      <c r="A41" s="134">
        <v>39</v>
      </c>
      <c r="B41" s="134">
        <v>1</v>
      </c>
      <c r="C41" s="134" t="s">
        <v>153</v>
      </c>
      <c r="D41" s="199" t="s">
        <v>275</v>
      </c>
      <c r="E41" s="135">
        <v>46118</v>
      </c>
      <c r="F41" s="135">
        <v>46121</v>
      </c>
      <c r="G41" s="135" t="s">
        <v>281</v>
      </c>
      <c r="H41" s="134" t="s">
        <v>8</v>
      </c>
      <c r="I41" s="136">
        <v>8.3333333333333329E-2</v>
      </c>
      <c r="J41" s="134">
        <v>986030045</v>
      </c>
      <c r="K41" s="134"/>
      <c r="L41" s="134" t="s">
        <v>285</v>
      </c>
      <c r="M41" s="134" t="s">
        <v>172</v>
      </c>
      <c r="N41" s="134">
        <v>259</v>
      </c>
      <c r="O41" s="134"/>
      <c r="P41" s="134"/>
      <c r="Q41" s="134" t="s">
        <v>166</v>
      </c>
    </row>
    <row r="42" spans="1:17" s="137" customFormat="1" hidden="1">
      <c r="A42" s="134">
        <v>40</v>
      </c>
      <c r="B42" s="134">
        <v>1</v>
      </c>
      <c r="C42" s="134" t="s">
        <v>97</v>
      </c>
      <c r="D42" s="199" t="s">
        <v>284</v>
      </c>
      <c r="E42" s="135">
        <v>46122</v>
      </c>
      <c r="F42" s="135">
        <v>46122</v>
      </c>
      <c r="G42" s="134" t="s">
        <v>281</v>
      </c>
      <c r="H42" s="134" t="s">
        <v>8</v>
      </c>
      <c r="I42" s="136">
        <v>0.375</v>
      </c>
      <c r="J42" s="134">
        <v>997354415</v>
      </c>
      <c r="K42" s="134"/>
      <c r="L42" s="134" t="s">
        <v>111</v>
      </c>
      <c r="M42" s="134" t="s">
        <v>172</v>
      </c>
      <c r="N42" s="134">
        <v>300</v>
      </c>
      <c r="O42" s="134"/>
      <c r="P42" s="134"/>
      <c r="Q42" s="134" t="s">
        <v>166</v>
      </c>
    </row>
    <row r="43" spans="1:17" s="137" customFormat="1" hidden="1">
      <c r="A43" s="134">
        <v>41</v>
      </c>
      <c r="B43" s="134">
        <v>1</v>
      </c>
      <c r="C43" s="134" t="s">
        <v>153</v>
      </c>
      <c r="D43" s="199" t="s">
        <v>288</v>
      </c>
      <c r="E43" s="135">
        <v>46123</v>
      </c>
      <c r="F43" s="135">
        <v>46123</v>
      </c>
      <c r="G43" s="134" t="s">
        <v>281</v>
      </c>
      <c r="H43" s="134" t="s">
        <v>8</v>
      </c>
      <c r="I43" s="134"/>
      <c r="J43" s="134">
        <v>921802008</v>
      </c>
      <c r="K43" s="134"/>
      <c r="L43" s="134" t="s">
        <v>176</v>
      </c>
      <c r="M43" s="134" t="s">
        <v>296</v>
      </c>
      <c r="N43" s="134">
        <v>199</v>
      </c>
      <c r="O43" s="134"/>
      <c r="P43" s="134"/>
      <c r="Q43" s="134" t="s">
        <v>166</v>
      </c>
    </row>
    <row r="44" spans="1:17" s="137" customFormat="1" hidden="1">
      <c r="A44" s="134">
        <v>43</v>
      </c>
      <c r="B44" s="134"/>
      <c r="C44" s="134" t="s">
        <v>153</v>
      </c>
      <c r="D44" s="134" t="s">
        <v>291</v>
      </c>
      <c r="E44" s="135">
        <v>46123</v>
      </c>
      <c r="F44" s="135">
        <v>46123</v>
      </c>
      <c r="G44" s="134" t="s">
        <v>281</v>
      </c>
      <c r="H44" s="134" t="s">
        <v>8</v>
      </c>
      <c r="I44" s="136">
        <v>8.3333333333333329E-2</v>
      </c>
      <c r="J44" s="134">
        <v>943576314</v>
      </c>
      <c r="K44" s="134"/>
      <c r="L44" s="134"/>
      <c r="M44" s="134"/>
      <c r="N44" s="134"/>
      <c r="O44" s="134"/>
      <c r="P44" s="134" t="s">
        <v>297</v>
      </c>
      <c r="Q44" s="134" t="s">
        <v>298</v>
      </c>
    </row>
    <row r="45" spans="1:17" s="137" customFormat="1" hidden="1">
      <c r="A45" s="134">
        <v>42</v>
      </c>
      <c r="B45" s="134">
        <v>1</v>
      </c>
      <c r="C45" s="134" t="s">
        <v>153</v>
      </c>
      <c r="D45" s="199" t="s">
        <v>289</v>
      </c>
      <c r="E45" s="135">
        <v>46123</v>
      </c>
      <c r="F45" s="135">
        <v>46123</v>
      </c>
      <c r="G45" s="134" t="s">
        <v>281</v>
      </c>
      <c r="H45" s="134" t="s">
        <v>8</v>
      </c>
      <c r="I45" s="134"/>
      <c r="J45" s="134">
        <v>999992419</v>
      </c>
      <c r="K45" s="134"/>
      <c r="L45" s="134" t="s">
        <v>295</v>
      </c>
      <c r="M45" s="134" t="s">
        <v>296</v>
      </c>
      <c r="N45" s="134">
        <v>199</v>
      </c>
      <c r="O45" s="134"/>
      <c r="P45" s="134"/>
      <c r="Q45" s="134" t="s">
        <v>166</v>
      </c>
    </row>
    <row r="46" spans="1:17" s="137" customFormat="1" hidden="1">
      <c r="A46" s="134">
        <v>44</v>
      </c>
      <c r="B46" s="134">
        <v>1</v>
      </c>
      <c r="C46" s="134" t="s">
        <v>153</v>
      </c>
      <c r="D46" s="199" t="s">
        <v>292</v>
      </c>
      <c r="E46" s="135">
        <v>46125</v>
      </c>
      <c r="F46" s="135">
        <v>46125</v>
      </c>
      <c r="G46" s="134" t="s">
        <v>281</v>
      </c>
      <c r="H46" s="134" t="s">
        <v>8</v>
      </c>
      <c r="I46" s="136">
        <v>0.25</v>
      </c>
      <c r="J46" s="134">
        <v>907794017</v>
      </c>
      <c r="K46" s="134" t="s">
        <v>252</v>
      </c>
      <c r="L46" s="134" t="s">
        <v>104</v>
      </c>
      <c r="M46" s="134" t="s">
        <v>294</v>
      </c>
      <c r="N46" s="134">
        <v>100</v>
      </c>
      <c r="O46" s="134"/>
      <c r="P46" s="134"/>
      <c r="Q46" s="134" t="s">
        <v>166</v>
      </c>
    </row>
    <row r="47" spans="1:17" s="137" customFormat="1" hidden="1">
      <c r="A47" s="134">
        <v>45</v>
      </c>
      <c r="B47" s="134">
        <v>1</v>
      </c>
      <c r="C47" s="134" t="s">
        <v>153</v>
      </c>
      <c r="D47" s="199" t="s">
        <v>293</v>
      </c>
      <c r="E47" s="135">
        <v>46125</v>
      </c>
      <c r="F47" s="135">
        <v>46125</v>
      </c>
      <c r="G47" s="134" t="s">
        <v>281</v>
      </c>
      <c r="H47" s="134" t="s">
        <v>8</v>
      </c>
      <c r="I47" s="136">
        <v>0.25</v>
      </c>
      <c r="J47" s="134">
        <v>907794017</v>
      </c>
      <c r="K47" s="134" t="s">
        <v>161</v>
      </c>
      <c r="L47" s="134" t="s">
        <v>238</v>
      </c>
      <c r="M47" s="134" t="s">
        <v>161</v>
      </c>
      <c r="N47" s="134">
        <v>250</v>
      </c>
      <c r="O47" s="134"/>
      <c r="P47" s="134"/>
      <c r="Q47" s="134" t="s">
        <v>166</v>
      </c>
    </row>
    <row r="48" spans="1:17" s="137" customFormat="1" ht="15" hidden="1">
      <c r="A48" s="134">
        <v>46</v>
      </c>
      <c r="B48" s="134">
        <v>1</v>
      </c>
      <c r="C48" s="134" t="s">
        <v>153</v>
      </c>
      <c r="D48" s="199" t="s">
        <v>299</v>
      </c>
      <c r="E48" s="135">
        <v>46128</v>
      </c>
      <c r="F48" s="135">
        <v>46132</v>
      </c>
      <c r="G48" s="134" t="s">
        <v>281</v>
      </c>
      <c r="H48" s="134" t="s">
        <v>8</v>
      </c>
      <c r="I48" s="136">
        <v>0.375</v>
      </c>
      <c r="J48" s="174">
        <v>913587056</v>
      </c>
      <c r="K48" s="134" t="s">
        <v>161</v>
      </c>
      <c r="L48" s="134" t="s">
        <v>110</v>
      </c>
      <c r="M48" s="134" t="s">
        <v>252</v>
      </c>
      <c r="N48" s="134">
        <v>450</v>
      </c>
      <c r="O48" s="134"/>
      <c r="P48" s="134"/>
      <c r="Q48" s="134" t="s">
        <v>166</v>
      </c>
    </row>
    <row r="49" spans="1:18" hidden="1">
      <c r="A49" s="134">
        <v>48</v>
      </c>
      <c r="B49" s="134">
        <v>1</v>
      </c>
      <c r="C49" s="134" t="s">
        <v>306</v>
      </c>
      <c r="D49" s="199" t="s">
        <v>309</v>
      </c>
      <c r="E49" s="135">
        <v>46140</v>
      </c>
      <c r="F49" s="135">
        <v>46141</v>
      </c>
      <c r="G49" s="134" t="s">
        <v>281</v>
      </c>
      <c r="H49" s="134" t="s">
        <v>300</v>
      </c>
      <c r="I49" s="136">
        <v>0.1875</v>
      </c>
      <c r="L49" s="134" t="s">
        <v>344</v>
      </c>
      <c r="M49" s="134" t="s">
        <v>161</v>
      </c>
      <c r="N49" s="134">
        <v>200</v>
      </c>
      <c r="Q49" s="134" t="s">
        <v>166</v>
      </c>
      <c r="R49" s="137"/>
    </row>
    <row r="50" spans="1:18" hidden="1">
      <c r="A50" s="134">
        <v>49</v>
      </c>
      <c r="B50" s="134">
        <v>1</v>
      </c>
      <c r="C50" s="134" t="s">
        <v>306</v>
      </c>
      <c r="D50" s="199" t="s">
        <v>307</v>
      </c>
      <c r="E50" s="135">
        <v>46140</v>
      </c>
      <c r="F50" s="135">
        <v>46143</v>
      </c>
      <c r="G50" s="134" t="s">
        <v>308</v>
      </c>
      <c r="H50" s="134" t="s">
        <v>300</v>
      </c>
      <c r="I50" s="136">
        <v>0.33333333333333331</v>
      </c>
      <c r="L50" s="134" t="s">
        <v>345</v>
      </c>
      <c r="M50" s="134" t="s">
        <v>172</v>
      </c>
      <c r="N50" s="134">
        <v>200</v>
      </c>
      <c r="Q50" s="134" t="s">
        <v>166</v>
      </c>
    </row>
    <row r="51" spans="1:18" hidden="1">
      <c r="A51" s="134">
        <v>50</v>
      </c>
      <c r="B51" s="134">
        <v>1</v>
      </c>
      <c r="C51" s="134" t="s">
        <v>153</v>
      </c>
      <c r="D51" s="199" t="s">
        <v>179</v>
      </c>
      <c r="E51" s="135">
        <v>46123</v>
      </c>
      <c r="F51" s="135">
        <v>46150</v>
      </c>
      <c r="G51" s="134" t="s">
        <v>308</v>
      </c>
      <c r="H51" s="134" t="s">
        <v>8</v>
      </c>
      <c r="I51" s="136">
        <v>0.22916666666666666</v>
      </c>
      <c r="J51" s="134">
        <v>943576314</v>
      </c>
      <c r="K51" s="134" t="s">
        <v>171</v>
      </c>
      <c r="L51" s="134" t="s">
        <v>199</v>
      </c>
      <c r="M51" s="134" t="s">
        <v>341</v>
      </c>
      <c r="N51" s="134">
        <v>169</v>
      </c>
      <c r="Q51" s="134" t="s">
        <v>166</v>
      </c>
    </row>
    <row r="52" spans="1:18" hidden="1">
      <c r="A52" s="134">
        <v>61</v>
      </c>
      <c r="B52" s="134">
        <v>1</v>
      </c>
      <c r="C52" s="134" t="s">
        <v>153</v>
      </c>
      <c r="D52" s="199" t="s">
        <v>363</v>
      </c>
      <c r="E52" s="135">
        <v>46147</v>
      </c>
      <c r="F52" s="135">
        <v>46150</v>
      </c>
      <c r="G52" s="134" t="s">
        <v>308</v>
      </c>
      <c r="H52" s="134" t="s">
        <v>9</v>
      </c>
      <c r="I52" s="136">
        <v>0.3125</v>
      </c>
      <c r="J52" s="134">
        <v>966255890</v>
      </c>
      <c r="K52" s="134" t="s">
        <v>362</v>
      </c>
      <c r="L52" s="134" t="s">
        <v>205</v>
      </c>
      <c r="M52" s="134" t="s">
        <v>161</v>
      </c>
      <c r="N52" s="134">
        <v>150</v>
      </c>
      <c r="Q52" s="134" t="s">
        <v>166</v>
      </c>
    </row>
    <row r="53" spans="1:18" hidden="1">
      <c r="A53" s="134">
        <v>60</v>
      </c>
      <c r="B53" s="134">
        <v>1</v>
      </c>
      <c r="C53" s="134" t="s">
        <v>153</v>
      </c>
      <c r="D53" s="199" t="s">
        <v>361</v>
      </c>
      <c r="E53" s="135">
        <v>46153</v>
      </c>
      <c r="F53" s="135">
        <v>46153</v>
      </c>
      <c r="G53" s="134" t="s">
        <v>308</v>
      </c>
      <c r="H53" s="134" t="s">
        <v>8</v>
      </c>
      <c r="I53" s="136">
        <v>0.375</v>
      </c>
      <c r="J53" s="134">
        <v>995735433</v>
      </c>
      <c r="L53" s="134" t="s">
        <v>109</v>
      </c>
      <c r="M53" s="134" t="s">
        <v>240</v>
      </c>
      <c r="N53" s="134">
        <v>160</v>
      </c>
      <c r="Q53" s="134" t="s">
        <v>166</v>
      </c>
    </row>
    <row r="54" spans="1:18" hidden="1">
      <c r="A54" s="134">
        <v>52</v>
      </c>
      <c r="B54" s="134">
        <v>1</v>
      </c>
      <c r="C54" s="134" t="s">
        <v>153</v>
      </c>
      <c r="D54" s="199" t="s">
        <v>343</v>
      </c>
      <c r="E54" s="135">
        <v>46153</v>
      </c>
      <c r="F54" s="135">
        <v>46154</v>
      </c>
      <c r="G54" s="134" t="s">
        <v>308</v>
      </c>
      <c r="H54" s="134" t="s">
        <v>8</v>
      </c>
      <c r="I54" s="136">
        <v>0.35486111111111113</v>
      </c>
      <c r="J54" s="134">
        <v>920066693</v>
      </c>
      <c r="K54" s="134" t="s">
        <v>247</v>
      </c>
      <c r="L54" s="134" t="s">
        <v>109</v>
      </c>
      <c r="M54" s="134" t="s">
        <v>247</v>
      </c>
      <c r="N54" s="134">
        <v>250</v>
      </c>
      <c r="Q54" s="134" t="s">
        <v>166</v>
      </c>
    </row>
    <row r="55" spans="1:18" hidden="1">
      <c r="A55" s="134">
        <v>51</v>
      </c>
      <c r="B55" s="134">
        <v>1</v>
      </c>
      <c r="C55" s="134" t="s">
        <v>153</v>
      </c>
      <c r="D55" s="199" t="s">
        <v>342</v>
      </c>
      <c r="E55" s="135">
        <v>46154</v>
      </c>
      <c r="F55" s="135">
        <v>46158</v>
      </c>
      <c r="G55" s="134" t="s">
        <v>308</v>
      </c>
      <c r="H55" s="134" t="s">
        <v>8</v>
      </c>
      <c r="I55" s="136">
        <v>0.33333333333333331</v>
      </c>
      <c r="J55" s="134">
        <v>936509461</v>
      </c>
      <c r="K55" s="134" t="s">
        <v>161</v>
      </c>
      <c r="L55" s="134" t="s">
        <v>105</v>
      </c>
      <c r="M55" s="134" t="s">
        <v>277</v>
      </c>
      <c r="N55" s="134">
        <v>199</v>
      </c>
      <c r="Q55" s="134" t="s">
        <v>166</v>
      </c>
      <c r="R55" s="137"/>
    </row>
    <row r="56" spans="1:18" hidden="1">
      <c r="A56" s="134">
        <v>53</v>
      </c>
      <c r="B56" s="134">
        <v>1</v>
      </c>
      <c r="C56" s="134" t="s">
        <v>153</v>
      </c>
      <c r="D56" s="199" t="s">
        <v>350</v>
      </c>
      <c r="E56" s="135">
        <v>46160</v>
      </c>
      <c r="F56" s="135">
        <v>46160</v>
      </c>
      <c r="G56" s="134" t="s">
        <v>308</v>
      </c>
      <c r="H56" s="134" t="s">
        <v>8</v>
      </c>
      <c r="I56" s="136">
        <v>0.375</v>
      </c>
      <c r="J56" s="134">
        <v>937116450</v>
      </c>
      <c r="K56" s="134" t="s">
        <v>161</v>
      </c>
      <c r="L56" s="134" t="s">
        <v>176</v>
      </c>
      <c r="M56" s="134" t="s">
        <v>240</v>
      </c>
      <c r="N56" s="134">
        <v>100</v>
      </c>
      <c r="Q56" s="134" t="s">
        <v>166</v>
      </c>
    </row>
    <row r="57" spans="1:18" hidden="1">
      <c r="A57" s="134">
        <v>56</v>
      </c>
      <c r="B57" s="134">
        <v>1</v>
      </c>
      <c r="C57" s="134" t="s">
        <v>153</v>
      </c>
      <c r="D57" s="134" t="s">
        <v>353</v>
      </c>
      <c r="E57" s="135">
        <v>46165</v>
      </c>
      <c r="F57" s="135">
        <v>46165</v>
      </c>
      <c r="G57" s="134" t="s">
        <v>308</v>
      </c>
      <c r="H57" s="134" t="s">
        <v>9</v>
      </c>
      <c r="I57" s="136">
        <v>0.375</v>
      </c>
      <c r="J57" s="134">
        <v>955851937</v>
      </c>
      <c r="K57" s="134" t="s">
        <v>354</v>
      </c>
      <c r="Q57" s="134" t="s">
        <v>189</v>
      </c>
    </row>
    <row r="58" spans="1:18" hidden="1">
      <c r="A58" s="134">
        <v>58</v>
      </c>
      <c r="B58" s="134">
        <v>1</v>
      </c>
      <c r="C58" s="134" t="s">
        <v>153</v>
      </c>
      <c r="D58" s="199" t="s">
        <v>357</v>
      </c>
      <c r="E58" s="135">
        <v>46159</v>
      </c>
      <c r="F58" s="135">
        <v>46160</v>
      </c>
      <c r="G58" s="134" t="s">
        <v>308</v>
      </c>
      <c r="H58" s="134" t="s">
        <v>25</v>
      </c>
      <c r="I58" s="136">
        <v>0.27083333333333331</v>
      </c>
      <c r="J58" s="134">
        <v>959428101</v>
      </c>
      <c r="K58" s="134" t="s">
        <v>247</v>
      </c>
      <c r="L58" s="134" t="s">
        <v>110</v>
      </c>
      <c r="M58" s="134" t="s">
        <v>247</v>
      </c>
      <c r="N58" s="134">
        <v>250</v>
      </c>
      <c r="P58" s="134" t="s">
        <v>358</v>
      </c>
      <c r="Q58" s="134" t="s">
        <v>166</v>
      </c>
    </row>
    <row r="59" spans="1:18" hidden="1">
      <c r="A59" s="134">
        <v>59</v>
      </c>
      <c r="B59" s="134">
        <v>1</v>
      </c>
      <c r="C59" s="134" t="s">
        <v>153</v>
      </c>
      <c r="D59" s="199" t="s">
        <v>359</v>
      </c>
      <c r="E59" s="135">
        <v>46157</v>
      </c>
      <c r="F59" s="135">
        <v>46160</v>
      </c>
      <c r="G59" s="134" t="s">
        <v>308</v>
      </c>
      <c r="H59" s="134" t="s">
        <v>25</v>
      </c>
      <c r="I59" s="136">
        <v>0.16666666666666666</v>
      </c>
      <c r="J59" s="134">
        <v>983468210</v>
      </c>
      <c r="K59" s="134" t="s">
        <v>360</v>
      </c>
      <c r="L59" s="134" t="s">
        <v>174</v>
      </c>
      <c r="M59" s="134" t="s">
        <v>155</v>
      </c>
      <c r="N59" s="134">
        <v>200</v>
      </c>
      <c r="Q59" s="134" t="s">
        <v>166</v>
      </c>
    </row>
    <row r="60" spans="1:18" hidden="1">
      <c r="A60" s="134">
        <v>55</v>
      </c>
      <c r="B60" s="134">
        <v>1</v>
      </c>
      <c r="C60" s="134" t="s">
        <v>153</v>
      </c>
      <c r="D60" s="199" t="s">
        <v>352</v>
      </c>
      <c r="E60" s="135">
        <v>46162</v>
      </c>
      <c r="F60" s="135">
        <v>46162</v>
      </c>
      <c r="G60" s="134" t="s">
        <v>308</v>
      </c>
      <c r="H60" s="134" t="s">
        <v>25</v>
      </c>
      <c r="I60" s="136">
        <v>0.14583333333333334</v>
      </c>
      <c r="J60" s="134">
        <v>939215729</v>
      </c>
      <c r="K60" s="134" t="s">
        <v>294</v>
      </c>
      <c r="L60" s="134" t="s">
        <v>209</v>
      </c>
      <c r="M60" s="134" t="s">
        <v>294</v>
      </c>
      <c r="N60" s="134">
        <v>100</v>
      </c>
      <c r="Q60" s="134" t="s">
        <v>166</v>
      </c>
    </row>
    <row r="61" spans="1:18" hidden="1">
      <c r="A61" s="134">
        <v>57</v>
      </c>
      <c r="B61" s="134">
        <v>1</v>
      </c>
      <c r="C61" s="134" t="s">
        <v>153</v>
      </c>
      <c r="D61" s="199" t="s">
        <v>355</v>
      </c>
      <c r="E61" s="135">
        <v>46160</v>
      </c>
      <c r="F61" s="135">
        <v>46164</v>
      </c>
      <c r="G61" s="134" t="s">
        <v>308</v>
      </c>
      <c r="H61" s="134" t="s">
        <v>10</v>
      </c>
      <c r="I61" s="136">
        <v>0.25</v>
      </c>
      <c r="J61" s="134">
        <v>970543993</v>
      </c>
      <c r="K61" s="134" t="s">
        <v>294</v>
      </c>
      <c r="L61" s="134" t="s">
        <v>356</v>
      </c>
      <c r="M61" s="134" t="s">
        <v>294</v>
      </c>
      <c r="N61" s="134">
        <v>150</v>
      </c>
      <c r="Q61" s="134" t="s">
        <v>166</v>
      </c>
    </row>
    <row r="62" spans="1:18" hidden="1">
      <c r="A62" s="134">
        <v>63</v>
      </c>
      <c r="B62" s="134">
        <v>1</v>
      </c>
      <c r="C62" s="134" t="s">
        <v>153</v>
      </c>
      <c r="D62" s="199" t="s">
        <v>372</v>
      </c>
      <c r="E62" s="135">
        <v>46169</v>
      </c>
      <c r="F62" s="135">
        <v>46169</v>
      </c>
      <c r="G62" s="134" t="s">
        <v>308</v>
      </c>
      <c r="H62" s="134" t="s">
        <v>25</v>
      </c>
      <c r="I62" s="136">
        <v>0.10416666666666667</v>
      </c>
      <c r="J62" s="134">
        <v>939792034</v>
      </c>
      <c r="K62" s="134" t="s">
        <v>373</v>
      </c>
      <c r="L62" s="134" t="s">
        <v>110</v>
      </c>
      <c r="M62" s="134" t="s">
        <v>247</v>
      </c>
      <c r="N62" s="134">
        <v>200</v>
      </c>
      <c r="Q62" s="134" t="s">
        <v>166</v>
      </c>
    </row>
    <row r="63" spans="1:18" hidden="1">
      <c r="A63" s="134">
        <v>62</v>
      </c>
      <c r="B63" s="134">
        <v>1</v>
      </c>
      <c r="C63" s="134" t="s">
        <v>153</v>
      </c>
      <c r="D63" s="134" t="s">
        <v>364</v>
      </c>
      <c r="E63" s="135">
        <v>46168</v>
      </c>
      <c r="F63" s="135">
        <v>46170</v>
      </c>
      <c r="G63" s="134" t="s">
        <v>308</v>
      </c>
      <c r="H63" s="134" t="s">
        <v>8</v>
      </c>
      <c r="I63" s="136">
        <v>0.5</v>
      </c>
      <c r="J63" s="134">
        <v>946417400</v>
      </c>
      <c r="K63" s="134" t="s">
        <v>365</v>
      </c>
      <c r="P63" s="134" t="s">
        <v>367</v>
      </c>
      <c r="Q63" s="134" t="s">
        <v>167</v>
      </c>
      <c r="R63" s="180" t="s">
        <v>290</v>
      </c>
    </row>
    <row r="64" spans="1:18" hidden="1">
      <c r="A64" s="134">
        <v>64</v>
      </c>
      <c r="B64" s="134">
        <v>1</v>
      </c>
      <c r="C64" s="134" t="s">
        <v>153</v>
      </c>
      <c r="D64" s="199" t="s">
        <v>376</v>
      </c>
      <c r="E64" s="135">
        <v>46172</v>
      </c>
      <c r="F64" s="135">
        <v>46172</v>
      </c>
      <c r="G64" s="134" t="s">
        <v>308</v>
      </c>
      <c r="H64" s="134" t="s">
        <v>9</v>
      </c>
      <c r="I64" s="136">
        <v>0.16666666666666666</v>
      </c>
      <c r="J64" s="134">
        <v>986609436</v>
      </c>
      <c r="K64" s="134" t="s">
        <v>294</v>
      </c>
      <c r="L64" s="134" t="s">
        <v>207</v>
      </c>
      <c r="M64" s="134" t="s">
        <v>294</v>
      </c>
      <c r="N64" s="134">
        <v>150</v>
      </c>
      <c r="Q64" s="134" t="s">
        <v>166</v>
      </c>
    </row>
    <row r="65" spans="1:17" hidden="1">
      <c r="A65" s="134">
        <v>65</v>
      </c>
      <c r="B65" s="134">
        <v>1</v>
      </c>
      <c r="C65" s="134" t="s">
        <v>153</v>
      </c>
      <c r="D65" s="199" t="s">
        <v>377</v>
      </c>
      <c r="E65" s="135">
        <v>46172</v>
      </c>
      <c r="F65" s="135">
        <v>46172</v>
      </c>
      <c r="G65" s="134" t="s">
        <v>308</v>
      </c>
      <c r="H65" s="134" t="s">
        <v>8</v>
      </c>
      <c r="I65" s="136">
        <v>6.25E-2</v>
      </c>
      <c r="J65" s="134">
        <v>910209079</v>
      </c>
      <c r="K65" s="134" t="s">
        <v>294</v>
      </c>
      <c r="L65" s="134" t="s">
        <v>176</v>
      </c>
      <c r="M65" s="134" t="s">
        <v>378</v>
      </c>
      <c r="N65" s="134">
        <v>100</v>
      </c>
      <c r="Q65" s="134" t="s">
        <v>166</v>
      </c>
    </row>
    <row r="66" spans="1:17" hidden="1">
      <c r="A66" s="134">
        <v>67</v>
      </c>
      <c r="B66" s="134">
        <v>1</v>
      </c>
      <c r="C66" s="134" t="s">
        <v>153</v>
      </c>
      <c r="D66" s="199" t="s">
        <v>380</v>
      </c>
      <c r="E66" s="135">
        <v>46173</v>
      </c>
      <c r="F66" s="135">
        <v>46173</v>
      </c>
      <c r="G66" s="134" t="s">
        <v>308</v>
      </c>
      <c r="H66" s="134" t="s">
        <v>8</v>
      </c>
      <c r="I66" s="136">
        <v>0.41666666666666669</v>
      </c>
      <c r="J66" s="134">
        <v>995326534</v>
      </c>
      <c r="K66" s="134" t="s">
        <v>247</v>
      </c>
      <c r="L66" s="134" t="s">
        <v>109</v>
      </c>
      <c r="M66" s="134" t="s">
        <v>247</v>
      </c>
      <c r="N66" s="134">
        <v>250</v>
      </c>
      <c r="Q66" s="134" t="s">
        <v>166</v>
      </c>
    </row>
    <row r="67" spans="1:17" hidden="1">
      <c r="A67" s="134">
        <v>66</v>
      </c>
      <c r="B67" s="134">
        <v>1</v>
      </c>
      <c r="C67" s="134" t="s">
        <v>153</v>
      </c>
      <c r="D67" s="134" t="s">
        <v>379</v>
      </c>
      <c r="E67" s="135">
        <v>46171</v>
      </c>
      <c r="F67" s="135">
        <v>46172</v>
      </c>
      <c r="G67" s="134" t="s">
        <v>308</v>
      </c>
      <c r="H67" s="134" t="s">
        <v>25</v>
      </c>
      <c r="I67" s="136">
        <v>0.33333333333333331</v>
      </c>
      <c r="J67" s="134">
        <v>923013989</v>
      </c>
      <c r="K67" s="134" t="s">
        <v>294</v>
      </c>
      <c r="Q67" s="134" t="s">
        <v>189</v>
      </c>
    </row>
    <row r="68" spans="1:17" hidden="1">
      <c r="A68" s="134">
        <v>54</v>
      </c>
      <c r="B68" s="134">
        <v>1</v>
      </c>
      <c r="C68" s="134" t="s">
        <v>153</v>
      </c>
      <c r="D68" s="199" t="s">
        <v>351</v>
      </c>
      <c r="E68" s="135">
        <v>46167</v>
      </c>
      <c r="F68" s="135">
        <v>46174</v>
      </c>
      <c r="G68" s="134" t="s">
        <v>348</v>
      </c>
      <c r="H68" s="134" t="s">
        <v>10</v>
      </c>
      <c r="I68" s="136">
        <v>0.41666666666666669</v>
      </c>
      <c r="J68" s="134">
        <v>945997067</v>
      </c>
      <c r="K68" s="134" t="s">
        <v>161</v>
      </c>
      <c r="L68" s="134" t="s">
        <v>174</v>
      </c>
      <c r="M68" s="134" t="s">
        <v>161</v>
      </c>
      <c r="N68" s="134">
        <v>200</v>
      </c>
      <c r="Q68" s="134" t="s">
        <v>166</v>
      </c>
    </row>
    <row r="69" spans="1:17" hidden="1">
      <c r="A69" s="134">
        <v>68</v>
      </c>
      <c r="B69" s="134">
        <v>1</v>
      </c>
      <c r="C69" s="134" t="s">
        <v>153</v>
      </c>
      <c r="D69" s="134" t="s">
        <v>366</v>
      </c>
      <c r="E69" s="135">
        <v>46169</v>
      </c>
      <c r="F69" s="135">
        <v>46175</v>
      </c>
      <c r="G69" s="134" t="s">
        <v>348</v>
      </c>
      <c r="H69" s="134" t="s">
        <v>25</v>
      </c>
      <c r="I69" s="136">
        <v>0.5</v>
      </c>
      <c r="J69" s="134">
        <v>906611989</v>
      </c>
      <c r="K69" s="134" t="s">
        <v>171</v>
      </c>
      <c r="P69" s="134" t="s">
        <v>367</v>
      </c>
      <c r="Q69" s="134" t="s">
        <v>167</v>
      </c>
    </row>
    <row r="70" spans="1:17" hidden="1">
      <c r="A70" s="134">
        <v>72</v>
      </c>
      <c r="B70" s="180">
        <v>1</v>
      </c>
      <c r="C70" s="180" t="s">
        <v>153</v>
      </c>
      <c r="D70" s="201" t="s">
        <v>382</v>
      </c>
      <c r="E70" s="181">
        <v>46174</v>
      </c>
      <c r="F70" s="181">
        <v>46174</v>
      </c>
      <c r="G70" s="180" t="s">
        <v>348</v>
      </c>
      <c r="H70" s="180" t="s">
        <v>25</v>
      </c>
      <c r="I70" s="182">
        <v>0.41666666666666669</v>
      </c>
      <c r="J70" s="180">
        <v>977697953</v>
      </c>
      <c r="K70" s="180" t="s">
        <v>159</v>
      </c>
      <c r="L70" s="180" t="s">
        <v>447</v>
      </c>
      <c r="M70" s="180" t="s">
        <v>448</v>
      </c>
      <c r="N70" s="180">
        <v>200</v>
      </c>
      <c r="O70" s="180"/>
      <c r="P70" s="180" t="s">
        <v>383</v>
      </c>
      <c r="Q70" s="180" t="s">
        <v>166</v>
      </c>
    </row>
    <row r="71" spans="1:17" hidden="1">
      <c r="A71" s="134">
        <v>70</v>
      </c>
      <c r="B71" s="134">
        <v>1</v>
      </c>
      <c r="C71" s="134" t="s">
        <v>368</v>
      </c>
      <c r="D71" s="134" t="s">
        <v>369</v>
      </c>
      <c r="E71" s="135">
        <v>46170</v>
      </c>
      <c r="F71" s="135">
        <v>46196</v>
      </c>
      <c r="G71" s="134" t="s">
        <v>348</v>
      </c>
      <c r="H71" s="134" t="s">
        <v>8</v>
      </c>
      <c r="I71" s="136">
        <v>0.27083333333333331</v>
      </c>
      <c r="J71" s="134">
        <v>993527486</v>
      </c>
      <c r="K71" s="134" t="s">
        <v>370</v>
      </c>
      <c r="P71" s="134" t="s">
        <v>371</v>
      </c>
      <c r="Q71" s="134" t="s">
        <v>167</v>
      </c>
    </row>
    <row r="72" spans="1:17" hidden="1">
      <c r="A72" s="134">
        <v>69</v>
      </c>
      <c r="B72" s="134">
        <v>1</v>
      </c>
      <c r="C72" s="134" t="s">
        <v>99</v>
      </c>
      <c r="D72" s="199" t="s">
        <v>347</v>
      </c>
      <c r="E72" s="134">
        <v>998973770</v>
      </c>
      <c r="F72" s="135">
        <v>46175</v>
      </c>
      <c r="G72" s="134" t="s">
        <v>348</v>
      </c>
      <c r="H72" s="134" t="s">
        <v>349</v>
      </c>
      <c r="I72" s="136">
        <v>8.3333333333333329E-2</v>
      </c>
      <c r="J72" s="134">
        <v>998973770</v>
      </c>
      <c r="L72" s="134" t="s">
        <v>109</v>
      </c>
      <c r="M72" s="134" t="s">
        <v>415</v>
      </c>
      <c r="N72" s="134">
        <v>350</v>
      </c>
      <c r="Q72" s="134" t="s">
        <v>166</v>
      </c>
    </row>
    <row r="73" spans="1:17" hidden="1">
      <c r="A73" s="134">
        <v>74</v>
      </c>
      <c r="B73" s="134">
        <v>1</v>
      </c>
      <c r="C73" s="134" t="s">
        <v>97</v>
      </c>
      <c r="D73" s="199" t="s">
        <v>407</v>
      </c>
      <c r="E73" s="135">
        <v>46178</v>
      </c>
      <c r="F73" s="135">
        <v>46178</v>
      </c>
      <c r="G73" s="134" t="s">
        <v>348</v>
      </c>
      <c r="H73" s="134" t="s">
        <v>8</v>
      </c>
      <c r="I73" s="136">
        <v>0.1875</v>
      </c>
      <c r="J73" s="134">
        <v>934810971</v>
      </c>
      <c r="K73" s="134" t="s">
        <v>159</v>
      </c>
      <c r="L73" s="134" t="s">
        <v>199</v>
      </c>
      <c r="M73" s="134" t="s">
        <v>415</v>
      </c>
      <c r="N73" s="134">
        <v>400</v>
      </c>
      <c r="Q73" s="134" t="s">
        <v>166</v>
      </c>
    </row>
    <row r="74" spans="1:17" hidden="1">
      <c r="A74" s="134">
        <v>76</v>
      </c>
      <c r="B74" s="134">
        <v>1</v>
      </c>
      <c r="C74" s="134" t="s">
        <v>405</v>
      </c>
      <c r="D74" s="199" t="s">
        <v>409</v>
      </c>
      <c r="E74" s="135">
        <v>46179</v>
      </c>
      <c r="F74" s="135">
        <v>46179</v>
      </c>
      <c r="G74" s="134" t="s">
        <v>348</v>
      </c>
      <c r="H74" s="134" t="s">
        <v>8</v>
      </c>
      <c r="I74" s="136">
        <v>0.55555555555555558</v>
      </c>
      <c r="J74" s="134">
        <v>950173458</v>
      </c>
      <c r="K74" s="134" t="s">
        <v>294</v>
      </c>
      <c r="L74" s="134" t="s">
        <v>285</v>
      </c>
      <c r="M74" s="134" t="s">
        <v>294</v>
      </c>
      <c r="N74" s="134">
        <v>180</v>
      </c>
      <c r="P74" s="134" t="s">
        <v>410</v>
      </c>
      <c r="Q74" s="134" t="s">
        <v>166</v>
      </c>
    </row>
    <row r="75" spans="1:17" hidden="1">
      <c r="A75" s="134">
        <v>71</v>
      </c>
      <c r="B75" s="180">
        <v>1</v>
      </c>
      <c r="C75" s="134" t="s">
        <v>153</v>
      </c>
      <c r="D75" s="199" t="s">
        <v>380</v>
      </c>
      <c r="E75" s="135">
        <v>46173</v>
      </c>
      <c r="F75" s="135">
        <v>46180</v>
      </c>
      <c r="G75" s="134" t="s">
        <v>348</v>
      </c>
      <c r="H75" s="134" t="s">
        <v>8</v>
      </c>
      <c r="I75" s="136">
        <v>0.41666666666666669</v>
      </c>
      <c r="J75" s="134">
        <v>995326534</v>
      </c>
      <c r="K75" s="180" t="s">
        <v>240</v>
      </c>
      <c r="L75" s="180" t="s">
        <v>109</v>
      </c>
      <c r="M75" s="180" t="s">
        <v>161</v>
      </c>
      <c r="N75" s="180">
        <v>200</v>
      </c>
      <c r="O75" s="180"/>
      <c r="P75" s="180" t="s">
        <v>381</v>
      </c>
      <c r="Q75" s="180" t="s">
        <v>166</v>
      </c>
    </row>
    <row r="76" spans="1:17" hidden="1">
      <c r="A76" s="134">
        <v>75</v>
      </c>
      <c r="B76" s="134">
        <v>1</v>
      </c>
      <c r="C76" s="134" t="s">
        <v>405</v>
      </c>
      <c r="D76" s="199" t="s">
        <v>408</v>
      </c>
      <c r="E76" s="135">
        <v>46178</v>
      </c>
      <c r="F76" s="135">
        <v>46190</v>
      </c>
      <c r="G76" s="134" t="s">
        <v>348</v>
      </c>
      <c r="H76" s="134" t="s">
        <v>9</v>
      </c>
      <c r="I76" s="136">
        <v>0.16666666666666666</v>
      </c>
      <c r="J76" s="134">
        <v>965639814</v>
      </c>
      <c r="K76" s="134" t="s">
        <v>171</v>
      </c>
      <c r="L76" s="134" t="s">
        <v>104</v>
      </c>
      <c r="M76" s="134" t="s">
        <v>161</v>
      </c>
      <c r="N76" s="134">
        <v>100</v>
      </c>
      <c r="Q76" s="134" t="s">
        <v>166</v>
      </c>
    </row>
    <row r="77" spans="1:17" hidden="1">
      <c r="A77" s="134">
        <v>77</v>
      </c>
      <c r="B77" s="134">
        <v>1</v>
      </c>
      <c r="C77" s="134" t="s">
        <v>153</v>
      </c>
      <c r="D77" s="199" t="s">
        <v>416</v>
      </c>
      <c r="E77" s="135">
        <v>46180</v>
      </c>
      <c r="F77" s="135">
        <v>46180</v>
      </c>
      <c r="G77" s="134" t="s">
        <v>348</v>
      </c>
      <c r="H77" s="134" t="s">
        <v>8</v>
      </c>
      <c r="I77" s="136">
        <v>8.3333333333333329E-2</v>
      </c>
      <c r="J77" s="134">
        <v>997178787</v>
      </c>
      <c r="K77" s="134" t="s">
        <v>161</v>
      </c>
      <c r="L77" s="134" t="s">
        <v>417</v>
      </c>
      <c r="M77" s="134" t="s">
        <v>161</v>
      </c>
      <c r="N77" s="134">
        <v>170</v>
      </c>
      <c r="Q77" s="134" t="s">
        <v>166</v>
      </c>
    </row>
    <row r="78" spans="1:17" hidden="1">
      <c r="A78" s="134">
        <v>73</v>
      </c>
      <c r="B78" s="134">
        <v>1</v>
      </c>
      <c r="C78" s="134" t="s">
        <v>405</v>
      </c>
      <c r="D78" s="199" t="s">
        <v>406</v>
      </c>
      <c r="E78" s="135">
        <v>46174</v>
      </c>
      <c r="F78" s="135">
        <v>46181</v>
      </c>
      <c r="G78" s="134" t="s">
        <v>348</v>
      </c>
      <c r="H78" s="134" t="s">
        <v>9</v>
      </c>
      <c r="I78" s="136">
        <v>0.41666666666666669</v>
      </c>
      <c r="J78" s="134">
        <v>910378120</v>
      </c>
      <c r="K78" s="134" t="s">
        <v>159</v>
      </c>
      <c r="L78" s="134" t="s">
        <v>206</v>
      </c>
      <c r="M78" s="134" t="s">
        <v>161</v>
      </c>
      <c r="N78" s="134">
        <v>150</v>
      </c>
      <c r="P78" s="134" t="s">
        <v>383</v>
      </c>
      <c r="Q78" s="134" t="s">
        <v>166</v>
      </c>
    </row>
    <row r="79" spans="1:17" ht="15" hidden="1">
      <c r="A79" s="134">
        <v>78</v>
      </c>
      <c r="B79" s="134">
        <v>1</v>
      </c>
      <c r="C79" s="134" t="s">
        <v>153</v>
      </c>
      <c r="D79" s="134" t="s">
        <v>424</v>
      </c>
      <c r="E79" s="135">
        <v>46180</v>
      </c>
      <c r="F79" s="135">
        <v>46187</v>
      </c>
      <c r="G79" s="134" t="s">
        <v>348</v>
      </c>
      <c r="H79" s="134" t="s">
        <v>8</v>
      </c>
      <c r="I79" s="136">
        <v>0.41666666666666669</v>
      </c>
      <c r="J79" s="196">
        <v>967235464</v>
      </c>
      <c r="K79" s="134" t="s">
        <v>425</v>
      </c>
      <c r="Q79" s="134" t="s">
        <v>167</v>
      </c>
    </row>
    <row r="80" spans="1:17" ht="15" hidden="1">
      <c r="A80" s="134">
        <v>79</v>
      </c>
      <c r="B80" s="134">
        <v>1</v>
      </c>
      <c r="C80" s="134" t="s">
        <v>153</v>
      </c>
      <c r="D80" s="134" t="s">
        <v>426</v>
      </c>
      <c r="E80" s="135">
        <v>46179</v>
      </c>
      <c r="F80" s="135">
        <v>46184</v>
      </c>
      <c r="G80" s="134" t="s">
        <v>348</v>
      </c>
      <c r="H80" s="134" t="s">
        <v>8</v>
      </c>
      <c r="I80" s="136">
        <v>0.41666666666666669</v>
      </c>
      <c r="J80" s="196">
        <v>944736477</v>
      </c>
      <c r="K80" s="134" t="s">
        <v>213</v>
      </c>
      <c r="P80" s="134" t="s">
        <v>427</v>
      </c>
      <c r="Q80" s="134" t="s">
        <v>167</v>
      </c>
    </row>
    <row r="81" spans="1:17" ht="15" hidden="1">
      <c r="A81" s="134">
        <v>80</v>
      </c>
      <c r="B81" s="134">
        <v>1</v>
      </c>
      <c r="C81" s="134" t="s">
        <v>153</v>
      </c>
      <c r="D81" s="204" t="s">
        <v>431</v>
      </c>
      <c r="E81" s="135">
        <v>46182</v>
      </c>
      <c r="F81" s="135">
        <v>46184</v>
      </c>
      <c r="G81" s="134" t="s">
        <v>348</v>
      </c>
      <c r="H81" s="134" t="s">
        <v>8</v>
      </c>
      <c r="I81" s="136">
        <v>0.375</v>
      </c>
      <c r="J81" s="196">
        <v>953060086</v>
      </c>
      <c r="K81" s="134" t="s">
        <v>161</v>
      </c>
      <c r="L81" s="134" t="s">
        <v>417</v>
      </c>
      <c r="M81" s="134" t="s">
        <v>161</v>
      </c>
      <c r="N81" s="134">
        <v>259</v>
      </c>
      <c r="Q81" s="134" t="s">
        <v>166</v>
      </c>
    </row>
    <row r="82" spans="1:17" hidden="1">
      <c r="A82" s="134">
        <v>82</v>
      </c>
      <c r="B82" s="134">
        <v>1</v>
      </c>
      <c r="C82" s="134" t="s">
        <v>153</v>
      </c>
      <c r="D82" s="134" t="s">
        <v>432</v>
      </c>
      <c r="E82" s="135">
        <v>46183</v>
      </c>
      <c r="F82" s="135">
        <v>46183</v>
      </c>
      <c r="G82" s="134" t="s">
        <v>348</v>
      </c>
      <c r="H82" s="134" t="s">
        <v>11</v>
      </c>
      <c r="I82" s="136">
        <v>0.14583333333333334</v>
      </c>
      <c r="J82" s="134">
        <v>910496790</v>
      </c>
      <c r="K82" s="134" t="s">
        <v>433</v>
      </c>
      <c r="Q82" s="134" t="s">
        <v>167</v>
      </c>
    </row>
    <row r="83" spans="1:17" hidden="1">
      <c r="A83" s="134">
        <v>85</v>
      </c>
      <c r="B83" s="134">
        <v>1</v>
      </c>
      <c r="C83" s="134" t="s">
        <v>153</v>
      </c>
      <c r="D83" s="199" t="s">
        <v>434</v>
      </c>
      <c r="E83" s="135">
        <v>46184</v>
      </c>
      <c r="F83" s="135">
        <v>46185</v>
      </c>
      <c r="G83" s="134" t="s">
        <v>348</v>
      </c>
      <c r="H83" s="134" t="s">
        <v>9</v>
      </c>
      <c r="I83" s="136">
        <v>0.20833333333333334</v>
      </c>
      <c r="J83" s="134">
        <v>931594772</v>
      </c>
      <c r="L83" s="134" t="s">
        <v>206</v>
      </c>
      <c r="M83" s="134" t="s">
        <v>294</v>
      </c>
      <c r="N83" s="134">
        <v>100</v>
      </c>
      <c r="Q83" s="134" t="s">
        <v>166</v>
      </c>
    </row>
    <row r="84" spans="1:17" hidden="1">
      <c r="A84" s="134">
        <v>86</v>
      </c>
      <c r="B84" s="134">
        <v>1</v>
      </c>
      <c r="C84" s="134" t="s">
        <v>153</v>
      </c>
      <c r="D84" s="202" t="s">
        <v>435</v>
      </c>
      <c r="E84" s="135">
        <v>46185</v>
      </c>
      <c r="F84" s="135">
        <v>46185</v>
      </c>
      <c r="G84" s="134" t="s">
        <v>348</v>
      </c>
      <c r="H84" s="134" t="s">
        <v>25</v>
      </c>
      <c r="I84" s="136">
        <v>8.3333333333333329E-2</v>
      </c>
      <c r="J84" s="134">
        <v>975083363</v>
      </c>
      <c r="L84" s="134" t="s">
        <v>356</v>
      </c>
      <c r="M84" s="134" t="s">
        <v>155</v>
      </c>
      <c r="N84" s="134">
        <v>350</v>
      </c>
      <c r="Q84" s="134" t="s">
        <v>166</v>
      </c>
    </row>
    <row r="85" spans="1:17" hidden="1">
      <c r="A85" s="134">
        <v>87</v>
      </c>
      <c r="B85" s="134">
        <v>1</v>
      </c>
      <c r="C85" s="134" t="s">
        <v>153</v>
      </c>
      <c r="D85" s="202" t="s">
        <v>436</v>
      </c>
      <c r="E85" s="135">
        <v>46185</v>
      </c>
      <c r="F85" s="135">
        <v>46185</v>
      </c>
      <c r="G85" s="134" t="s">
        <v>348</v>
      </c>
      <c r="H85" s="134" t="s">
        <v>25</v>
      </c>
      <c r="I85" s="136">
        <v>8.3333333333333329E-2</v>
      </c>
      <c r="J85" s="134">
        <v>975083363</v>
      </c>
      <c r="L85" s="134" t="s">
        <v>174</v>
      </c>
      <c r="M85" s="134" t="s">
        <v>155</v>
      </c>
      <c r="N85" s="134">
        <v>300</v>
      </c>
      <c r="Q85" s="134" t="s">
        <v>166</v>
      </c>
    </row>
    <row r="86" spans="1:17" hidden="1">
      <c r="A86" s="134">
        <v>83</v>
      </c>
      <c r="B86" s="134">
        <v>1</v>
      </c>
      <c r="C86" s="134" t="s">
        <v>153</v>
      </c>
      <c r="D86" s="202" t="s">
        <v>437</v>
      </c>
      <c r="E86" s="135">
        <v>46186</v>
      </c>
      <c r="F86" s="135">
        <v>46186</v>
      </c>
      <c r="G86" s="134" t="s">
        <v>348</v>
      </c>
      <c r="H86" s="134" t="s">
        <v>8</v>
      </c>
      <c r="I86" s="136">
        <v>0.16666666666666666</v>
      </c>
      <c r="J86" s="134">
        <v>928666468</v>
      </c>
      <c r="K86" s="134" t="s">
        <v>161</v>
      </c>
      <c r="L86" s="134" t="s">
        <v>107</v>
      </c>
      <c r="M86" s="134" t="s">
        <v>161</v>
      </c>
      <c r="N86" s="134">
        <v>150</v>
      </c>
      <c r="Q86" s="134" t="s">
        <v>166</v>
      </c>
    </row>
    <row r="87" spans="1:17" hidden="1">
      <c r="A87" s="134">
        <v>84</v>
      </c>
      <c r="B87" s="134">
        <v>1</v>
      </c>
      <c r="C87" s="134" t="s">
        <v>153</v>
      </c>
      <c r="D87" s="202" t="s">
        <v>438</v>
      </c>
      <c r="E87" s="135">
        <v>46192</v>
      </c>
      <c r="F87" s="135">
        <v>46193</v>
      </c>
      <c r="G87" s="134" t="s">
        <v>348</v>
      </c>
      <c r="H87" s="134" t="s">
        <v>8</v>
      </c>
      <c r="I87" s="136">
        <v>0.33333333333333331</v>
      </c>
      <c r="J87" s="134">
        <v>946739155</v>
      </c>
      <c r="K87" s="134" t="s">
        <v>159</v>
      </c>
      <c r="L87" s="134" t="s">
        <v>442</v>
      </c>
      <c r="M87" s="134" t="s">
        <v>161</v>
      </c>
      <c r="N87" s="134">
        <v>170</v>
      </c>
      <c r="Q87" s="134" t="s">
        <v>166</v>
      </c>
    </row>
    <row r="88" spans="1:17" hidden="1">
      <c r="A88" s="134">
        <v>84</v>
      </c>
      <c r="B88" s="134">
        <v>1</v>
      </c>
      <c r="C88" s="134" t="s">
        <v>153</v>
      </c>
      <c r="D88" s="202" t="s">
        <v>439</v>
      </c>
      <c r="E88" s="135">
        <v>46195</v>
      </c>
      <c r="F88" s="135">
        <v>46195</v>
      </c>
      <c r="G88" s="134" t="s">
        <v>348</v>
      </c>
      <c r="H88" s="134" t="s">
        <v>25</v>
      </c>
      <c r="I88" s="136">
        <v>0.125</v>
      </c>
      <c r="J88" s="134">
        <v>941329433</v>
      </c>
      <c r="K88" s="134" t="s">
        <v>155</v>
      </c>
      <c r="L88" s="134" t="s">
        <v>447</v>
      </c>
      <c r="M88" s="134" t="s">
        <v>448</v>
      </c>
      <c r="N88" s="134">
        <v>200</v>
      </c>
      <c r="Q88" s="134" t="s">
        <v>166</v>
      </c>
    </row>
    <row r="89" spans="1:17" hidden="1">
      <c r="A89" s="134">
        <v>86</v>
      </c>
      <c r="B89" s="134">
        <v>1</v>
      </c>
      <c r="C89" s="134" t="s">
        <v>153</v>
      </c>
      <c r="D89" s="197" t="s">
        <v>441</v>
      </c>
      <c r="E89" s="135">
        <v>46198</v>
      </c>
      <c r="F89" s="135">
        <v>46203</v>
      </c>
      <c r="G89" s="134" t="s">
        <v>348</v>
      </c>
      <c r="H89" s="134" t="s">
        <v>8</v>
      </c>
      <c r="I89" s="136">
        <v>0.41666666666666669</v>
      </c>
      <c r="J89" s="134">
        <v>922683463</v>
      </c>
      <c r="K89" s="134" t="s">
        <v>247</v>
      </c>
      <c r="Q89" s="134" t="s">
        <v>189</v>
      </c>
    </row>
    <row r="90" spans="1:17" hidden="1">
      <c r="A90" s="134">
        <v>84</v>
      </c>
      <c r="B90" s="134">
        <v>1</v>
      </c>
      <c r="C90" s="134" t="s">
        <v>153</v>
      </c>
      <c r="D90" s="199" t="s">
        <v>443</v>
      </c>
      <c r="E90" s="135">
        <v>46200</v>
      </c>
      <c r="F90" s="135">
        <v>46200</v>
      </c>
      <c r="G90" s="134" t="s">
        <v>348</v>
      </c>
      <c r="H90" s="134" t="s">
        <v>444</v>
      </c>
      <c r="I90" s="136">
        <v>0.33333333333333331</v>
      </c>
      <c r="J90" s="134">
        <v>912009610</v>
      </c>
      <c r="K90" s="134" t="s">
        <v>445</v>
      </c>
      <c r="L90" s="134" t="s">
        <v>446</v>
      </c>
      <c r="M90" s="134" t="s">
        <v>445</v>
      </c>
      <c r="N90" s="134">
        <v>200</v>
      </c>
      <c r="Q90" s="134" t="s">
        <v>166</v>
      </c>
    </row>
    <row r="91" spans="1:17" hidden="1">
      <c r="A91" s="134">
        <v>84</v>
      </c>
      <c r="B91" s="134">
        <v>1</v>
      </c>
      <c r="C91" s="134" t="s">
        <v>153</v>
      </c>
      <c r="D91" s="199" t="s">
        <v>449</v>
      </c>
      <c r="E91" s="135">
        <v>46199</v>
      </c>
      <c r="F91" s="135">
        <v>46201</v>
      </c>
      <c r="G91" s="134" t="s">
        <v>348</v>
      </c>
      <c r="H91" s="134" t="s">
        <v>9</v>
      </c>
      <c r="I91" s="136">
        <v>0.14583333333333334</v>
      </c>
      <c r="J91" s="134">
        <v>966419103</v>
      </c>
      <c r="K91" s="134" t="s">
        <v>294</v>
      </c>
      <c r="L91" s="134" t="s">
        <v>208</v>
      </c>
      <c r="M91" s="134" t="s">
        <v>161</v>
      </c>
      <c r="N91" s="134">
        <v>150</v>
      </c>
      <c r="P91" s="134">
        <v>99</v>
      </c>
      <c r="Q91" s="134" t="s">
        <v>166</v>
      </c>
    </row>
    <row r="92" spans="1:17">
      <c r="A92" s="134">
        <v>84</v>
      </c>
      <c r="B92" s="134">
        <v>1</v>
      </c>
      <c r="C92" s="134" t="s">
        <v>153</v>
      </c>
      <c r="D92" s="199" t="s">
        <v>428</v>
      </c>
      <c r="E92" s="135">
        <v>46181</v>
      </c>
      <c r="F92" s="135">
        <v>46226</v>
      </c>
      <c r="G92" s="134" t="s">
        <v>429</v>
      </c>
      <c r="H92" s="134" t="s">
        <v>8</v>
      </c>
      <c r="I92" s="136">
        <v>0.33333333333333331</v>
      </c>
      <c r="J92" s="134">
        <v>956998976</v>
      </c>
      <c r="K92" s="134" t="s">
        <v>430</v>
      </c>
      <c r="Q92" s="134" t="s">
        <v>189</v>
      </c>
    </row>
    <row r="93" spans="1:17">
      <c r="A93" s="134">
        <v>84</v>
      </c>
      <c r="B93" s="134">
        <v>1</v>
      </c>
      <c r="C93" s="134" t="s">
        <v>153</v>
      </c>
      <c r="D93" s="199" t="s">
        <v>450</v>
      </c>
      <c r="E93" s="135">
        <v>46202</v>
      </c>
      <c r="F93" s="135">
        <v>46207</v>
      </c>
      <c r="G93" s="134" t="s">
        <v>429</v>
      </c>
      <c r="H93" s="134" t="s">
        <v>451</v>
      </c>
      <c r="I93" s="136">
        <v>0.375</v>
      </c>
      <c r="J93" s="134">
        <v>992585810</v>
      </c>
      <c r="K93" s="134" t="s">
        <v>452</v>
      </c>
      <c r="P93" s="134" t="s">
        <v>453</v>
      </c>
      <c r="Q93" s="134" t="s">
        <v>483</v>
      </c>
    </row>
    <row r="94" spans="1:17">
      <c r="A94" s="134">
        <v>84</v>
      </c>
      <c r="B94" s="134">
        <v>1</v>
      </c>
      <c r="C94" s="134" t="s">
        <v>153</v>
      </c>
      <c r="D94" s="197" t="s">
        <v>482</v>
      </c>
      <c r="E94" s="135">
        <v>46207</v>
      </c>
      <c r="F94" s="135">
        <v>46207</v>
      </c>
      <c r="G94" s="134" t="s">
        <v>429</v>
      </c>
      <c r="H94" s="134" t="s">
        <v>25</v>
      </c>
      <c r="I94" s="136">
        <v>0.4375</v>
      </c>
      <c r="J94" s="134">
        <v>925886842</v>
      </c>
      <c r="K94" s="134" t="s">
        <v>171</v>
      </c>
      <c r="Q94" s="134" t="s">
        <v>166</v>
      </c>
    </row>
    <row r="95" spans="1:17">
      <c r="A95" s="134">
        <v>84</v>
      </c>
      <c r="B95" s="134">
        <v>1</v>
      </c>
      <c r="C95" s="134" t="s">
        <v>153</v>
      </c>
      <c r="D95" s="199" t="s">
        <v>484</v>
      </c>
      <c r="E95" s="135">
        <v>46207</v>
      </c>
      <c r="F95" s="135">
        <v>46211</v>
      </c>
      <c r="G95" s="134" t="s">
        <v>429</v>
      </c>
      <c r="H95" s="134" t="s">
        <v>8</v>
      </c>
      <c r="I95" s="136">
        <v>0.16666666666666666</v>
      </c>
      <c r="J95" s="134">
        <v>927728411</v>
      </c>
      <c r="K95" s="134" t="s">
        <v>485</v>
      </c>
      <c r="Q95" s="134" t="s">
        <v>189</v>
      </c>
    </row>
    <row r="96" spans="1:17" hidden="1">
      <c r="A96" s="134">
        <v>84</v>
      </c>
    </row>
    <row r="97" spans="1:1" hidden="1">
      <c r="A97" s="134">
        <v>84</v>
      </c>
    </row>
    <row r="98" spans="1:1" hidden="1">
      <c r="A98" s="134">
        <v>84</v>
      </c>
    </row>
    <row r="99" spans="1:1" hidden="1">
      <c r="A99" s="134">
        <v>84</v>
      </c>
    </row>
    <row r="100" spans="1:1" hidden="1">
      <c r="A100" s="134">
        <v>84</v>
      </c>
    </row>
    <row r="101" spans="1:1" hidden="1">
      <c r="A101" s="134">
        <v>84</v>
      </c>
    </row>
    <row r="102" spans="1:1" hidden="1">
      <c r="A102" s="134">
        <v>84</v>
      </c>
    </row>
    <row r="103" spans="1:1" hidden="1">
      <c r="A103" s="134">
        <v>84</v>
      </c>
    </row>
    <row r="104" spans="1:1" hidden="1">
      <c r="A104" s="134">
        <v>84</v>
      </c>
    </row>
  </sheetData>
  <autoFilter ref="A1:Q104" xr:uid="{015233F6-DD15-4400-BB6B-B4E5624BA41E}">
    <filterColumn colId="6">
      <filters>
        <filter val="JULIO"/>
      </filters>
    </filterColumn>
    <sortState xmlns:xlrd2="http://schemas.microsoft.com/office/spreadsheetml/2017/richdata2" ref="A2:Q86">
      <sortCondition ref="F1:F90"/>
    </sortState>
  </autoFilter>
  <pageMargins left="0.7" right="0.7" top="0.75" bottom="0.75" header="0.3" footer="0.3"/>
  <pageSetup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2747-8243-4A8E-800E-942B5D5C93AE}">
  <dimension ref="B2:P61"/>
  <sheetViews>
    <sheetView showGridLines="0" tabSelected="1" topLeftCell="A6" zoomScale="88" zoomScaleNormal="88" workbookViewId="0">
      <selection activeCell="B18" sqref="B18"/>
    </sheetView>
  </sheetViews>
  <sheetFormatPr baseColWidth="10" defaultRowHeight="15"/>
  <cols>
    <col min="2" max="2" width="18.28515625" style="3" bestFit="1" customWidth="1"/>
    <col min="3" max="3" width="19.140625" style="3" bestFit="1" customWidth="1"/>
    <col min="4" max="4" width="19.140625" style="3" customWidth="1"/>
    <col min="5" max="5" width="11.5703125" style="3"/>
    <col min="6" max="6" width="18.28515625" style="3" bestFit="1" customWidth="1"/>
    <col min="7" max="7" width="19.140625" style="3" bestFit="1" customWidth="1"/>
    <col min="8" max="8" width="11.5703125" style="3"/>
    <col min="10" max="10" width="18.28515625" bestFit="1" customWidth="1"/>
    <col min="11" max="11" width="19.140625" bestFit="1" customWidth="1"/>
    <col min="12" max="12" width="10.42578125" bestFit="1" customWidth="1"/>
    <col min="14" max="14" width="18.28515625" bestFit="1" customWidth="1"/>
    <col min="15" max="15" width="19.140625" bestFit="1" customWidth="1"/>
    <col min="16" max="16" width="10.42578125" bestFit="1" customWidth="1"/>
  </cols>
  <sheetData>
    <row r="2" spans="2:16" ht="18.75">
      <c r="B2" s="289" t="s">
        <v>375</v>
      </c>
      <c r="C2" s="289"/>
      <c r="D2" s="289"/>
      <c r="E2" s="289"/>
      <c r="F2" s="289"/>
      <c r="G2" s="289"/>
      <c r="H2" s="289"/>
      <c r="J2" s="289" t="s">
        <v>375</v>
      </c>
      <c r="K2" s="289"/>
      <c r="L2" s="289"/>
      <c r="M2" s="289"/>
      <c r="N2" s="289"/>
      <c r="O2" s="289"/>
      <c r="P2" s="289"/>
    </row>
    <row r="3" spans="2:16">
      <c r="B3" s="183"/>
      <c r="C3" s="183"/>
      <c r="D3" s="183"/>
      <c r="J3" s="183"/>
      <c r="K3" s="183"/>
      <c r="L3" s="183"/>
      <c r="M3" s="3"/>
      <c r="N3" s="3"/>
      <c r="O3" s="3"/>
      <c r="P3" s="3"/>
    </row>
    <row r="4" spans="2:16">
      <c r="B4" s="307" t="s">
        <v>400</v>
      </c>
      <c r="C4" s="307"/>
      <c r="D4" s="307"/>
      <c r="F4" s="307" t="s">
        <v>396</v>
      </c>
      <c r="G4" s="307"/>
      <c r="H4" s="307"/>
      <c r="J4" s="306" t="s">
        <v>411</v>
      </c>
      <c r="K4" s="307"/>
      <c r="L4" s="307"/>
      <c r="M4" s="3"/>
      <c r="N4" s="306" t="s">
        <v>412</v>
      </c>
      <c r="O4" s="307"/>
      <c r="P4" s="307"/>
    </row>
    <row r="5" spans="2:16">
      <c r="B5" s="192" t="s">
        <v>401</v>
      </c>
      <c r="C5" s="192" t="s">
        <v>402</v>
      </c>
      <c r="D5" s="184" t="s">
        <v>404</v>
      </c>
      <c r="F5" s="184" t="s">
        <v>401</v>
      </c>
      <c r="G5" s="184" t="s">
        <v>402</v>
      </c>
      <c r="H5" s="184" t="s">
        <v>404</v>
      </c>
      <c r="J5" s="192" t="s">
        <v>401</v>
      </c>
      <c r="K5" s="192" t="s">
        <v>402</v>
      </c>
      <c r="L5" s="184" t="s">
        <v>404</v>
      </c>
      <c r="M5" s="3"/>
      <c r="N5" s="184" t="s">
        <v>401</v>
      </c>
      <c r="O5" s="184" t="s">
        <v>402</v>
      </c>
      <c r="P5" s="184" t="s">
        <v>404</v>
      </c>
    </row>
    <row r="6" spans="2:16">
      <c r="B6" s="129">
        <v>1</v>
      </c>
      <c r="C6" s="129">
        <v>373</v>
      </c>
      <c r="D6" s="190">
        <f>C6/C$11</f>
        <v>0.6216666666666667</v>
      </c>
      <c r="F6" s="185">
        <v>1</v>
      </c>
      <c r="G6" s="185">
        <v>360</v>
      </c>
      <c r="H6" s="190">
        <f>G6/G$10</f>
        <v>0.88019559902200484</v>
      </c>
      <c r="J6" s="129">
        <v>1</v>
      </c>
      <c r="K6" s="129">
        <v>52</v>
      </c>
      <c r="L6" s="190">
        <f>K6/K$11</f>
        <v>0.67532467532467533</v>
      </c>
      <c r="M6" s="3"/>
      <c r="N6" s="185">
        <v>1</v>
      </c>
      <c r="O6" s="185">
        <v>30</v>
      </c>
      <c r="P6" s="190">
        <f>O6/O$10</f>
        <v>0.88235294117647056</v>
      </c>
    </row>
    <row r="7" spans="2:16">
      <c r="B7" s="129">
        <v>2</v>
      </c>
      <c r="C7" s="129">
        <v>112</v>
      </c>
      <c r="D7" s="190">
        <f>C7/C$11</f>
        <v>0.18666666666666668</v>
      </c>
      <c r="F7" s="185">
        <v>2</v>
      </c>
      <c r="G7" s="185">
        <v>38</v>
      </c>
      <c r="H7" s="190">
        <f>G7/G$10</f>
        <v>9.2909535452322736E-2</v>
      </c>
      <c r="J7" s="129">
        <v>2</v>
      </c>
      <c r="K7" s="129">
        <v>14</v>
      </c>
      <c r="L7" s="190">
        <f>K7/K$11</f>
        <v>0.18181818181818182</v>
      </c>
      <c r="M7" s="3"/>
      <c r="N7" s="185">
        <v>2</v>
      </c>
      <c r="O7" s="185">
        <v>2</v>
      </c>
      <c r="P7" s="190">
        <f>O7/O$10</f>
        <v>5.8823529411764705E-2</v>
      </c>
    </row>
    <row r="8" spans="2:16">
      <c r="B8" s="129">
        <v>3</v>
      </c>
      <c r="C8" s="129">
        <v>73</v>
      </c>
      <c r="D8" s="190">
        <f>C8/C$11</f>
        <v>0.12166666666666667</v>
      </c>
      <c r="F8" s="185">
        <v>3</v>
      </c>
      <c r="G8" s="185">
        <v>8</v>
      </c>
      <c r="H8" s="190">
        <f>G8/G$10</f>
        <v>1.9559902200488997E-2</v>
      </c>
      <c r="J8" s="129">
        <v>3</v>
      </c>
      <c r="K8" s="129">
        <v>6</v>
      </c>
      <c r="L8" s="190">
        <f>K8/K$11</f>
        <v>7.792207792207792E-2</v>
      </c>
      <c r="M8" s="3"/>
      <c r="N8" s="185">
        <v>3</v>
      </c>
      <c r="O8" s="185">
        <v>2</v>
      </c>
      <c r="P8" s="190">
        <f>O8/O$10</f>
        <v>5.8823529411764705E-2</v>
      </c>
    </row>
    <row r="9" spans="2:16">
      <c r="B9" s="129">
        <v>4</v>
      </c>
      <c r="C9" s="129">
        <v>30</v>
      </c>
      <c r="D9" s="190">
        <f>C9/C$11</f>
        <v>0.05</v>
      </c>
      <c r="F9" s="185">
        <v>4</v>
      </c>
      <c r="G9" s="185">
        <v>3</v>
      </c>
      <c r="H9" s="190">
        <f>G9/G$10</f>
        <v>7.3349633251833741E-3</v>
      </c>
      <c r="J9" s="129">
        <v>4</v>
      </c>
      <c r="K9" s="129">
        <v>2</v>
      </c>
      <c r="L9" s="190">
        <f>K9/K$11</f>
        <v>2.5974025974025976E-2</v>
      </c>
      <c r="M9" s="3"/>
      <c r="N9" s="185"/>
      <c r="O9" s="185"/>
      <c r="P9" s="190">
        <f>O9/O$10</f>
        <v>0</v>
      </c>
    </row>
    <row r="10" spans="2:16">
      <c r="B10" s="184" t="s">
        <v>403</v>
      </c>
      <c r="C10" s="129">
        <v>12</v>
      </c>
      <c r="D10" s="190">
        <f>C10/C$11</f>
        <v>0.02</v>
      </c>
      <c r="F10" s="186" t="s">
        <v>374</v>
      </c>
      <c r="G10" s="186">
        <f>SUM(G6:G9)</f>
        <v>409</v>
      </c>
      <c r="H10" s="191">
        <f>SUM(H6:H9)</f>
        <v>0.99999999999999989</v>
      </c>
      <c r="J10" s="184" t="s">
        <v>403</v>
      </c>
      <c r="K10" s="129">
        <v>3</v>
      </c>
      <c r="L10" s="190">
        <f>K10/K$11</f>
        <v>3.896103896103896E-2</v>
      </c>
      <c r="M10" s="3"/>
      <c r="N10" s="186" t="s">
        <v>374</v>
      </c>
      <c r="O10" s="186">
        <f>SUM(O6:O9)</f>
        <v>34</v>
      </c>
      <c r="P10" s="191">
        <f>SUM(P6:P9)</f>
        <v>1</v>
      </c>
    </row>
    <row r="11" spans="2:16">
      <c r="B11" s="143" t="s">
        <v>374</v>
      </c>
      <c r="C11" s="143">
        <f>SUM(C6:C10)</f>
        <v>600</v>
      </c>
      <c r="D11" s="194">
        <f>SUM(D6:D10)</f>
        <v>1</v>
      </c>
      <c r="J11" s="143" t="s">
        <v>374</v>
      </c>
      <c r="K11" s="143">
        <f>SUM(K6:K10)</f>
        <v>77</v>
      </c>
      <c r="L11" s="194">
        <f>SUM(L6:L10)</f>
        <v>1</v>
      </c>
      <c r="M11" s="3"/>
      <c r="N11" s="3"/>
      <c r="O11" s="3"/>
      <c r="P11" s="3"/>
    </row>
    <row r="12" spans="2:16">
      <c r="J12" s="3"/>
      <c r="K12" s="3"/>
      <c r="L12" s="3"/>
      <c r="M12" s="3"/>
      <c r="N12" s="3"/>
      <c r="O12" s="3"/>
      <c r="P12" s="3"/>
    </row>
    <row r="13" spans="2:16">
      <c r="J13" s="3"/>
      <c r="K13" s="3"/>
      <c r="L13" s="3"/>
      <c r="M13" s="3"/>
      <c r="N13" s="3"/>
      <c r="O13" s="3"/>
      <c r="P13" s="3"/>
    </row>
    <row r="14" spans="2:16">
      <c r="B14" s="307" t="s">
        <v>399</v>
      </c>
      <c r="C14" s="307"/>
      <c r="D14" s="307"/>
      <c r="F14" s="307" t="s">
        <v>397</v>
      </c>
      <c r="G14" s="307"/>
      <c r="H14" s="307"/>
      <c r="J14" s="306" t="s">
        <v>413</v>
      </c>
      <c r="K14" s="307"/>
      <c r="L14" s="307"/>
      <c r="M14" s="3"/>
      <c r="N14" s="306" t="s">
        <v>414</v>
      </c>
      <c r="O14" s="307"/>
      <c r="P14" s="307"/>
    </row>
    <row r="15" spans="2:16">
      <c r="B15" s="192" t="s">
        <v>401</v>
      </c>
      <c r="C15" s="192" t="s">
        <v>402</v>
      </c>
      <c r="D15" s="184" t="s">
        <v>404</v>
      </c>
      <c r="F15" s="192" t="s">
        <v>401</v>
      </c>
      <c r="G15" s="192" t="s">
        <v>402</v>
      </c>
      <c r="H15" s="184" t="s">
        <v>404</v>
      </c>
      <c r="J15" s="192" t="s">
        <v>401</v>
      </c>
      <c r="K15" s="192" t="s">
        <v>402</v>
      </c>
      <c r="L15" s="184" t="s">
        <v>404</v>
      </c>
      <c r="M15" s="3"/>
      <c r="N15" s="192" t="s">
        <v>401</v>
      </c>
      <c r="O15" s="192" t="s">
        <v>402</v>
      </c>
      <c r="P15" s="184" t="s">
        <v>404</v>
      </c>
    </row>
    <row r="16" spans="2:16">
      <c r="B16" s="185">
        <v>1</v>
      </c>
      <c r="C16" s="187">
        <v>464</v>
      </c>
      <c r="D16" s="193">
        <f>C16/C$21</f>
        <v>0.76065573770491801</v>
      </c>
      <c r="F16" s="185">
        <v>1</v>
      </c>
      <c r="G16" s="185">
        <v>294</v>
      </c>
      <c r="H16" s="190">
        <f>G16/G$20</f>
        <v>0.71186440677966101</v>
      </c>
      <c r="J16" s="185"/>
      <c r="K16" s="187"/>
      <c r="L16" s="193"/>
      <c r="M16" s="3"/>
      <c r="N16" s="185"/>
      <c r="O16" s="185"/>
      <c r="P16" s="190"/>
    </row>
    <row r="17" spans="2:16">
      <c r="B17" s="185">
        <v>2</v>
      </c>
      <c r="C17" s="187">
        <v>56</v>
      </c>
      <c r="D17" s="193">
        <f>C17/C$21</f>
        <v>9.1803278688524587E-2</v>
      </c>
      <c r="F17" s="185">
        <v>2</v>
      </c>
      <c r="G17" s="185">
        <v>56</v>
      </c>
      <c r="H17" s="190">
        <f>G17/G$20</f>
        <v>0.13559322033898305</v>
      </c>
      <c r="J17" s="185"/>
      <c r="K17" s="187"/>
      <c r="L17" s="193"/>
      <c r="M17" s="3"/>
      <c r="N17" s="185"/>
      <c r="O17" s="185"/>
      <c r="P17" s="190"/>
    </row>
    <row r="18" spans="2:16">
      <c r="B18" s="185">
        <v>3</v>
      </c>
      <c r="C18" s="187">
        <v>14</v>
      </c>
      <c r="D18" s="193">
        <f>C18/C$21</f>
        <v>2.2950819672131147E-2</v>
      </c>
      <c r="F18" s="185">
        <v>3</v>
      </c>
      <c r="G18" s="185">
        <v>7</v>
      </c>
      <c r="H18" s="190">
        <f>G18/G$20</f>
        <v>1.6949152542372881E-2</v>
      </c>
      <c r="J18" s="185"/>
      <c r="K18" s="187"/>
      <c r="L18" s="193"/>
      <c r="M18" s="3"/>
      <c r="N18" s="185"/>
      <c r="O18" s="185"/>
      <c r="P18" s="190"/>
    </row>
    <row r="19" spans="2:16">
      <c r="B19" s="185">
        <v>4</v>
      </c>
      <c r="C19" s="187">
        <v>19</v>
      </c>
      <c r="D19" s="193">
        <f>C19/C$21</f>
        <v>3.1147540983606559E-2</v>
      </c>
      <c r="F19" s="185" t="s">
        <v>398</v>
      </c>
      <c r="G19" s="185">
        <v>56</v>
      </c>
      <c r="H19" s="190">
        <f>G19/G$20</f>
        <v>0.13559322033898305</v>
      </c>
      <c r="J19" s="185"/>
      <c r="K19" s="187"/>
      <c r="L19" s="193"/>
      <c r="M19" s="3"/>
      <c r="N19" s="185"/>
      <c r="O19" s="185"/>
      <c r="P19" s="190"/>
    </row>
    <row r="20" spans="2:16">
      <c r="B20" s="188" t="s">
        <v>403</v>
      </c>
      <c r="C20" s="129">
        <v>57</v>
      </c>
      <c r="D20" s="193">
        <f>C20/C$21</f>
        <v>9.3442622950819676E-2</v>
      </c>
      <c r="F20" s="186" t="s">
        <v>374</v>
      </c>
      <c r="G20" s="186">
        <f>SUM(G16:G19)</f>
        <v>413</v>
      </c>
      <c r="H20" s="191">
        <f>SUM(H16:H19)</f>
        <v>0.99999999999999989</v>
      </c>
      <c r="J20" s="188"/>
      <c r="K20" s="129"/>
      <c r="L20" s="193"/>
      <c r="M20" s="3"/>
      <c r="N20" s="186" t="s">
        <v>374</v>
      </c>
      <c r="O20" s="186">
        <f>SUM(O16:O19)</f>
        <v>0</v>
      </c>
      <c r="P20" s="191">
        <f>SUM(P16:P19)</f>
        <v>0</v>
      </c>
    </row>
    <row r="21" spans="2:16">
      <c r="B21" s="143" t="s">
        <v>374</v>
      </c>
      <c r="C21" s="143">
        <f>SUM(C16:C20)</f>
        <v>610</v>
      </c>
      <c r="D21" s="194">
        <f>SUM(D16:D20)</f>
        <v>1</v>
      </c>
      <c r="J21" s="143" t="s">
        <v>374</v>
      </c>
      <c r="K21" s="143">
        <f>SUM(K16:K20)</f>
        <v>0</v>
      </c>
      <c r="L21" s="194">
        <f>SUM(L16:L20)</f>
        <v>0</v>
      </c>
      <c r="M21" s="3"/>
      <c r="N21" s="3"/>
      <c r="O21" s="3"/>
      <c r="P21" s="3"/>
    </row>
    <row r="28" spans="2:16">
      <c r="B28" s="297" t="s">
        <v>471</v>
      </c>
      <c r="C28" s="298"/>
      <c r="F28" s="297" t="s">
        <v>486</v>
      </c>
      <c r="G28" s="298"/>
    </row>
    <row r="29" spans="2:16">
      <c r="B29" s="198" t="s">
        <v>462</v>
      </c>
      <c r="C29" s="129">
        <v>16</v>
      </c>
      <c r="F29" s="198" t="s">
        <v>462</v>
      </c>
      <c r="G29" s="129">
        <v>2</v>
      </c>
    </row>
    <row r="30" spans="2:16">
      <c r="B30" s="198" t="s">
        <v>463</v>
      </c>
      <c r="C30" s="129">
        <v>17</v>
      </c>
      <c r="F30" s="198" t="s">
        <v>463</v>
      </c>
      <c r="G30" s="129">
        <v>6</v>
      </c>
    </row>
    <row r="31" spans="2:16">
      <c r="B31" s="208" t="s">
        <v>464</v>
      </c>
      <c r="C31" s="208">
        <v>9</v>
      </c>
      <c r="D31" s="189"/>
      <c r="F31" s="208" t="s">
        <v>464</v>
      </c>
      <c r="G31" s="186">
        <v>2</v>
      </c>
    </row>
    <row r="32" spans="2:16">
      <c r="B32" s="198" t="s">
        <v>465</v>
      </c>
      <c r="C32" s="129">
        <v>10</v>
      </c>
      <c r="F32" s="198" t="s">
        <v>465</v>
      </c>
      <c r="G32" s="129">
        <v>1</v>
      </c>
    </row>
    <row r="33" spans="2:14">
      <c r="B33" s="198" t="s">
        <v>466</v>
      </c>
      <c r="C33" s="129">
        <v>12</v>
      </c>
      <c r="F33" s="198" t="s">
        <v>466</v>
      </c>
      <c r="G33" s="129">
        <v>1</v>
      </c>
    </row>
    <row r="34" spans="2:14">
      <c r="B34" s="198" t="s">
        <v>467</v>
      </c>
      <c r="C34" s="129">
        <v>40</v>
      </c>
      <c r="F34" s="198" t="s">
        <v>467</v>
      </c>
      <c r="G34" s="129">
        <v>9</v>
      </c>
    </row>
    <row r="35" spans="2:14">
      <c r="B35" s="198" t="s">
        <v>468</v>
      </c>
      <c r="C35" s="129">
        <v>6</v>
      </c>
      <c r="F35" s="198" t="s">
        <v>468</v>
      </c>
      <c r="G35" s="129">
        <v>4</v>
      </c>
    </row>
    <row r="36" spans="2:14">
      <c r="B36" s="198" t="s">
        <v>469</v>
      </c>
      <c r="C36" s="129">
        <v>16</v>
      </c>
      <c r="F36" s="198" t="s">
        <v>469</v>
      </c>
      <c r="G36" s="129">
        <v>6</v>
      </c>
    </row>
    <row r="37" spans="2:14">
      <c r="B37" s="198" t="s">
        <v>470</v>
      </c>
      <c r="C37" s="129">
        <v>15</v>
      </c>
      <c r="F37" s="198" t="s">
        <v>470</v>
      </c>
      <c r="G37" s="129">
        <v>1</v>
      </c>
    </row>
    <row r="38" spans="2:14">
      <c r="B38" s="206" t="s">
        <v>472</v>
      </c>
      <c r="C38" s="207">
        <f>SUM(C29:C37)</f>
        <v>141</v>
      </c>
      <c r="F38" s="198" t="s">
        <v>487</v>
      </c>
      <c r="G38" s="129">
        <v>4</v>
      </c>
    </row>
    <row r="39" spans="2:14">
      <c r="F39" s="198" t="s">
        <v>488</v>
      </c>
      <c r="G39" s="129">
        <v>3</v>
      </c>
    </row>
    <row r="40" spans="2:14">
      <c r="F40" s="206" t="s">
        <v>472</v>
      </c>
      <c r="G40" s="207">
        <f>SUM(G29:G39)</f>
        <v>39</v>
      </c>
    </row>
    <row r="41" spans="2:14">
      <c r="F41" s="209"/>
      <c r="G41" s="41"/>
    </row>
    <row r="42" spans="2:14">
      <c r="F42" s="209"/>
      <c r="G42" s="41"/>
    </row>
    <row r="43" spans="2:14">
      <c r="F43" s="209"/>
      <c r="G43" s="41"/>
    </row>
    <row r="45" spans="2:14">
      <c r="B45" s="300" t="s">
        <v>489</v>
      </c>
      <c r="C45" s="301"/>
      <c r="D45" s="302"/>
      <c r="E45" s="148" t="s">
        <v>463</v>
      </c>
      <c r="F45" s="148" t="s">
        <v>464</v>
      </c>
      <c r="G45" s="148" t="s">
        <v>465</v>
      </c>
      <c r="H45" s="148" t="s">
        <v>466</v>
      </c>
      <c r="I45" s="148" t="s">
        <v>467</v>
      </c>
      <c r="J45" s="148" t="s">
        <v>468</v>
      </c>
      <c r="K45" s="148" t="s">
        <v>481</v>
      </c>
      <c r="L45" s="148" t="s">
        <v>470</v>
      </c>
      <c r="M45" s="3"/>
      <c r="N45" s="3"/>
    </row>
    <row r="46" spans="2:14" ht="20.45" customHeight="1">
      <c r="B46" s="293" t="s">
        <v>473</v>
      </c>
      <c r="C46" s="293"/>
      <c r="D46" s="293"/>
      <c r="E46" s="142">
        <v>4.7</v>
      </c>
      <c r="F46" s="142">
        <v>4.8</v>
      </c>
      <c r="G46" s="142">
        <v>4.8</v>
      </c>
      <c r="H46" s="142">
        <v>4.5</v>
      </c>
      <c r="I46" s="142">
        <v>4.2</v>
      </c>
      <c r="J46" s="142">
        <v>4.5</v>
      </c>
      <c r="K46" s="142">
        <v>4.0999999999999996</v>
      </c>
      <c r="L46" s="142">
        <v>3</v>
      </c>
      <c r="M46" s="128"/>
      <c r="N46" s="128"/>
    </row>
    <row r="47" spans="2:14" ht="20.45" customHeight="1">
      <c r="B47" s="293" t="s">
        <v>474</v>
      </c>
      <c r="C47" s="293"/>
      <c r="D47" s="293"/>
      <c r="E47" s="142">
        <v>4.8</v>
      </c>
      <c r="F47" s="142">
        <v>5</v>
      </c>
      <c r="G47" s="142">
        <v>4.8</v>
      </c>
      <c r="H47" s="142">
        <v>4.7</v>
      </c>
      <c r="I47" s="142">
        <v>4.5999999999999996</v>
      </c>
      <c r="J47" s="142">
        <v>4.7</v>
      </c>
      <c r="K47" s="142">
        <v>4.3</v>
      </c>
      <c r="L47" s="142">
        <v>3.9</v>
      </c>
      <c r="M47" s="128"/>
      <c r="N47" s="128"/>
    </row>
    <row r="48" spans="2:14" ht="20.45" customHeight="1">
      <c r="B48" s="293" t="s">
        <v>475</v>
      </c>
      <c r="C48" s="293"/>
      <c r="D48" s="293"/>
      <c r="E48" s="142">
        <v>4.7</v>
      </c>
      <c r="F48" s="142">
        <v>4.5999999999999996</v>
      </c>
      <c r="G48" s="142">
        <v>4.8</v>
      </c>
      <c r="H48" s="142">
        <v>4.5999999999999996</v>
      </c>
      <c r="I48" s="142">
        <v>4.4000000000000004</v>
      </c>
      <c r="J48" s="142">
        <v>4.4000000000000004</v>
      </c>
      <c r="K48" s="142">
        <v>3.9</v>
      </c>
      <c r="L48" s="142">
        <v>3.1</v>
      </c>
      <c r="M48" s="128"/>
      <c r="N48" s="128"/>
    </row>
    <row r="49" spans="2:14" ht="20.45" customHeight="1">
      <c r="B49" s="210"/>
      <c r="C49" s="210"/>
      <c r="D49" s="210"/>
      <c r="E49" s="128"/>
      <c r="F49" s="128"/>
      <c r="G49" s="128"/>
      <c r="H49" s="128"/>
      <c r="I49" s="128"/>
      <c r="J49" s="128"/>
      <c r="K49" s="128"/>
      <c r="L49" s="128"/>
      <c r="M49" s="128"/>
      <c r="N49" s="128"/>
    </row>
    <row r="50" spans="2:14" ht="20.45" customHeight="1">
      <c r="B50" s="303"/>
      <c r="C50" s="304"/>
      <c r="D50" s="305"/>
      <c r="E50" s="149" t="s">
        <v>463</v>
      </c>
      <c r="F50" s="149" t="s">
        <v>464</v>
      </c>
      <c r="G50" s="149" t="s">
        <v>465</v>
      </c>
      <c r="H50" s="149" t="s">
        <v>466</v>
      </c>
      <c r="I50" s="149" t="s">
        <v>467</v>
      </c>
      <c r="J50" s="149" t="s">
        <v>468</v>
      </c>
      <c r="K50" s="149" t="s">
        <v>481</v>
      </c>
      <c r="L50" s="149" t="s">
        <v>470</v>
      </c>
      <c r="M50" s="149" t="s">
        <v>487</v>
      </c>
      <c r="N50" s="149" t="s">
        <v>488</v>
      </c>
    </row>
    <row r="51" spans="2:14" ht="20.45" customHeight="1">
      <c r="B51" s="293" t="s">
        <v>473</v>
      </c>
      <c r="C51" s="293"/>
      <c r="D51" s="293"/>
      <c r="E51" s="142">
        <v>4.7</v>
      </c>
      <c r="F51" s="142">
        <v>5</v>
      </c>
      <c r="G51" s="142">
        <v>5</v>
      </c>
      <c r="H51" s="142">
        <v>5</v>
      </c>
      <c r="I51" s="142">
        <v>4.5</v>
      </c>
      <c r="J51" s="142">
        <v>5</v>
      </c>
      <c r="K51" s="142">
        <v>3.3</v>
      </c>
      <c r="L51" s="142">
        <v>1</v>
      </c>
      <c r="M51" s="142">
        <v>4.7</v>
      </c>
      <c r="N51" s="142">
        <v>4.5999999999999996</v>
      </c>
    </row>
    <row r="52" spans="2:14" ht="20.45" customHeight="1">
      <c r="B52" s="293" t="s">
        <v>474</v>
      </c>
      <c r="C52" s="293"/>
      <c r="D52" s="293"/>
      <c r="E52" s="142">
        <v>4.9000000000000004</v>
      </c>
      <c r="F52" s="142">
        <v>5</v>
      </c>
      <c r="G52" s="142">
        <v>5</v>
      </c>
      <c r="H52" s="142">
        <v>5</v>
      </c>
      <c r="I52" s="142">
        <v>4.0999999999999996</v>
      </c>
      <c r="J52" s="142">
        <v>5</v>
      </c>
      <c r="K52" s="142">
        <v>4.5999999999999996</v>
      </c>
      <c r="L52" s="142">
        <v>1</v>
      </c>
      <c r="M52" s="142">
        <v>4.7</v>
      </c>
      <c r="N52" s="142">
        <v>4.4000000000000004</v>
      </c>
    </row>
    <row r="53" spans="2:14" ht="20.45" customHeight="1">
      <c r="B53" s="293" t="s">
        <v>475</v>
      </c>
      <c r="C53" s="293"/>
      <c r="D53" s="293"/>
      <c r="E53" s="142">
        <v>4.9000000000000004</v>
      </c>
      <c r="F53" s="142">
        <v>5</v>
      </c>
      <c r="G53" s="142">
        <v>5</v>
      </c>
      <c r="H53" s="142">
        <v>4.4000000000000004</v>
      </c>
      <c r="I53" s="142">
        <v>4</v>
      </c>
      <c r="J53" s="142">
        <v>5</v>
      </c>
      <c r="K53" s="142">
        <v>3.3</v>
      </c>
      <c r="L53" s="142">
        <v>1</v>
      </c>
      <c r="M53" s="142">
        <v>4.5</v>
      </c>
      <c r="N53" s="142">
        <v>4.3</v>
      </c>
    </row>
    <row r="54" spans="2:14" ht="20.45" customHeight="1">
      <c r="B54" s="299"/>
      <c r="C54" s="299"/>
      <c r="D54" s="299"/>
    </row>
    <row r="55" spans="2:14" ht="19.149999999999999" customHeight="1">
      <c r="B55" s="293" t="s">
        <v>476</v>
      </c>
      <c r="C55" s="293"/>
      <c r="D55" s="293"/>
      <c r="E55" s="142">
        <v>4.5999999999999996</v>
      </c>
      <c r="F55" s="142">
        <v>4.5999999999999996</v>
      </c>
      <c r="G55" s="142">
        <v>5</v>
      </c>
      <c r="H55" s="142">
        <v>4.8</v>
      </c>
      <c r="I55" s="142">
        <v>4.2</v>
      </c>
      <c r="J55" s="142">
        <v>4.3</v>
      </c>
      <c r="K55" s="142">
        <v>4.0999999999999996</v>
      </c>
      <c r="L55" s="142"/>
      <c r="M55" s="142">
        <v>4.8</v>
      </c>
      <c r="N55" s="142">
        <v>4.5</v>
      </c>
    </row>
    <row r="56" spans="2:14" ht="19.149999999999999" customHeight="1">
      <c r="B56" s="294" t="s">
        <v>490</v>
      </c>
      <c r="C56" s="295"/>
      <c r="D56" s="296"/>
      <c r="E56" s="142">
        <v>269</v>
      </c>
      <c r="F56" s="142">
        <v>334</v>
      </c>
      <c r="G56" s="142">
        <v>362</v>
      </c>
      <c r="H56" s="142">
        <v>551</v>
      </c>
      <c r="I56" s="142">
        <v>513</v>
      </c>
      <c r="J56" s="142">
        <v>226</v>
      </c>
      <c r="K56" s="142">
        <v>157</v>
      </c>
      <c r="L56" s="142"/>
      <c r="M56" s="142">
        <v>217</v>
      </c>
      <c r="N56" s="142">
        <v>179</v>
      </c>
    </row>
    <row r="57" spans="2:14" ht="19.149999999999999" customHeight="1">
      <c r="B57" s="293" t="s">
        <v>477</v>
      </c>
      <c r="C57" s="293"/>
      <c r="D57" s="293"/>
      <c r="E57" s="142">
        <v>51</v>
      </c>
      <c r="F57" s="142">
        <v>4</v>
      </c>
      <c r="G57" s="142">
        <v>21</v>
      </c>
      <c r="H57" s="142">
        <v>23</v>
      </c>
      <c r="I57" s="142">
        <v>28</v>
      </c>
      <c r="J57" s="142">
        <v>11</v>
      </c>
      <c r="K57" s="142">
        <v>6</v>
      </c>
      <c r="L57" s="142">
        <v>7</v>
      </c>
      <c r="M57" s="142">
        <v>46</v>
      </c>
      <c r="N57" s="142">
        <v>43</v>
      </c>
    </row>
    <row r="58" spans="2:14" ht="19.149999999999999" customHeight="1">
      <c r="B58" s="293" t="s">
        <v>478</v>
      </c>
      <c r="C58" s="293"/>
      <c r="D58" s="293"/>
      <c r="E58" s="142">
        <v>22</v>
      </c>
      <c r="F58" s="142">
        <v>1</v>
      </c>
      <c r="G58" s="142">
        <v>8</v>
      </c>
      <c r="H58" s="142">
        <v>6</v>
      </c>
      <c r="I58" s="142">
        <v>13</v>
      </c>
      <c r="J58" s="142">
        <v>5</v>
      </c>
      <c r="K58" s="142">
        <v>4</v>
      </c>
      <c r="L58" s="142">
        <v>2</v>
      </c>
      <c r="M58" s="142">
        <v>28</v>
      </c>
      <c r="N58" s="142">
        <v>27</v>
      </c>
    </row>
    <row r="59" spans="2:14" ht="19.149999999999999" customHeight="1">
      <c r="B59" s="210"/>
      <c r="C59" s="210"/>
      <c r="D59" s="210"/>
      <c r="E59" s="128"/>
      <c r="F59" s="128"/>
      <c r="G59" s="128"/>
      <c r="H59" s="128"/>
      <c r="I59" s="128"/>
      <c r="J59" s="128"/>
      <c r="K59" s="128"/>
      <c r="L59" s="128"/>
      <c r="M59" s="128"/>
      <c r="N59" s="128"/>
    </row>
    <row r="60" spans="2:14" ht="19.149999999999999" customHeight="1">
      <c r="B60" s="293" t="s">
        <v>479</v>
      </c>
      <c r="C60" s="293"/>
      <c r="D60" s="293"/>
      <c r="E60" s="142"/>
      <c r="F60" s="142"/>
      <c r="G60" s="142"/>
      <c r="H60" s="142"/>
      <c r="I60" s="142"/>
      <c r="J60" s="142">
        <v>1</v>
      </c>
      <c r="K60" s="142"/>
      <c r="L60" s="142"/>
      <c r="M60" s="142"/>
      <c r="N60" s="142"/>
    </row>
    <row r="61" spans="2:14" ht="19.149999999999999" customHeight="1">
      <c r="B61" s="293" t="s">
        <v>480</v>
      </c>
      <c r="C61" s="293"/>
      <c r="D61" s="293"/>
      <c r="E61" s="142"/>
      <c r="F61" s="142"/>
      <c r="G61" s="142"/>
      <c r="H61" s="142"/>
      <c r="I61" s="142"/>
      <c r="J61" s="142"/>
      <c r="K61" s="142"/>
      <c r="L61" s="142"/>
      <c r="M61" s="142"/>
      <c r="N61" s="142"/>
    </row>
  </sheetData>
  <mergeCells count="27">
    <mergeCell ref="B50:D50"/>
    <mergeCell ref="J2:P2"/>
    <mergeCell ref="J4:L4"/>
    <mergeCell ref="N4:P4"/>
    <mergeCell ref="J14:L14"/>
    <mergeCell ref="N14:P14"/>
    <mergeCell ref="F4:H4"/>
    <mergeCell ref="F14:H14"/>
    <mergeCell ref="B4:D4"/>
    <mergeCell ref="B14:D14"/>
    <mergeCell ref="B2:H2"/>
    <mergeCell ref="B61:D61"/>
    <mergeCell ref="B56:D56"/>
    <mergeCell ref="F28:G28"/>
    <mergeCell ref="B55:D55"/>
    <mergeCell ref="B57:D57"/>
    <mergeCell ref="B58:D58"/>
    <mergeCell ref="B60:D60"/>
    <mergeCell ref="B51:D51"/>
    <mergeCell ref="B52:D52"/>
    <mergeCell ref="B53:D53"/>
    <mergeCell ref="B54:D54"/>
    <mergeCell ref="B45:D45"/>
    <mergeCell ref="B28:C28"/>
    <mergeCell ref="B46:D46"/>
    <mergeCell ref="B47:D47"/>
    <mergeCell ref="B48:D48"/>
  </mergeCells>
  <pageMargins left="0.7" right="0.7" top="0.75" bottom="0.75" header="0.3" footer="0.3"/>
  <pageSetup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E824-89C9-4E81-A3B6-559A5AD5497C}">
  <dimension ref="A1:T81"/>
  <sheetViews>
    <sheetView showGridLines="0" topLeftCell="A22" zoomScale="80" zoomScaleNormal="80" workbookViewId="0">
      <selection activeCell="L33" sqref="L33"/>
    </sheetView>
  </sheetViews>
  <sheetFormatPr baseColWidth="10" defaultRowHeight="15"/>
  <cols>
    <col min="1" max="1" width="3.28515625" style="3" bestFit="1" customWidth="1"/>
    <col min="2" max="2" width="22.28515625" style="3" bestFit="1" customWidth="1"/>
    <col min="3" max="3" width="17.28515625" style="3" bestFit="1" customWidth="1"/>
    <col min="4" max="5" width="22.140625" style="3" customWidth="1"/>
    <col min="6" max="6" width="29.28515625" style="3" customWidth="1"/>
    <col min="7" max="7" width="11.42578125" style="3" customWidth="1"/>
    <col min="8" max="8" width="10.28515625" style="3" customWidth="1"/>
    <col min="9" max="9" width="10.28515625" style="41" customWidth="1"/>
    <col min="10" max="10" width="16.7109375" style="41" bestFit="1" customWidth="1"/>
    <col min="11" max="11" width="10" style="41" bestFit="1" customWidth="1"/>
    <col min="12" max="12" width="23.5703125" bestFit="1" customWidth="1"/>
    <col min="13" max="13" width="17.28515625" style="128" bestFit="1" customWidth="1"/>
    <col min="14" max="14" width="9.85546875" style="128" bestFit="1" customWidth="1"/>
    <col min="15" max="15" width="23.5703125" customWidth="1"/>
    <col min="16" max="16" width="23.5703125" style="3" customWidth="1"/>
    <col min="17" max="17" width="23.5703125" customWidth="1"/>
    <col min="18" max="18" width="16.7109375" style="3" bestFit="1" customWidth="1"/>
    <col min="19" max="19" width="11.5703125" style="3"/>
    <col min="20" max="20" width="23.5703125" style="3" bestFit="1" customWidth="1"/>
  </cols>
  <sheetData>
    <row r="1" spans="1:16" ht="23.25">
      <c r="A1" s="312" t="s">
        <v>8</v>
      </c>
      <c r="B1" s="312"/>
      <c r="C1" s="312"/>
      <c r="D1" s="312"/>
      <c r="E1" s="312"/>
      <c r="F1" s="312"/>
      <c r="G1" s="312"/>
      <c r="H1" s="312"/>
      <c r="I1" s="154"/>
      <c r="J1" s="154"/>
      <c r="K1" s="154"/>
    </row>
    <row r="2" spans="1:16" customFormat="1" ht="25.15" customHeight="1">
      <c r="A2" s="139" t="s">
        <v>141</v>
      </c>
      <c r="B2" s="139" t="s">
        <v>200</v>
      </c>
      <c r="C2" s="139" t="s">
        <v>191</v>
      </c>
      <c r="D2" s="139" t="s">
        <v>192</v>
      </c>
      <c r="E2" s="139"/>
      <c r="F2" s="139" t="s">
        <v>193</v>
      </c>
      <c r="G2" s="139" t="s">
        <v>194</v>
      </c>
      <c r="H2" s="139" t="s">
        <v>2</v>
      </c>
      <c r="I2" s="155"/>
      <c r="J2" s="149" t="s">
        <v>195</v>
      </c>
      <c r="K2" s="149" t="s">
        <v>72</v>
      </c>
      <c r="L2" s="138"/>
      <c r="P2" s="3"/>
    </row>
    <row r="3" spans="1:16">
      <c r="A3" s="129">
        <v>1</v>
      </c>
      <c r="B3" s="140" t="s">
        <v>104</v>
      </c>
      <c r="C3" s="140" t="s">
        <v>83</v>
      </c>
      <c r="D3" s="140" t="s">
        <v>80</v>
      </c>
      <c r="E3" s="140"/>
      <c r="F3" s="129">
        <v>85</v>
      </c>
      <c r="G3" s="129">
        <v>2</v>
      </c>
      <c r="H3" s="129">
        <f>F3*G3</f>
        <v>170</v>
      </c>
      <c r="J3" s="141" t="s">
        <v>92</v>
      </c>
      <c r="K3" s="142">
        <v>65</v>
      </c>
    </row>
    <row r="4" spans="1:16">
      <c r="A4" s="129">
        <v>2</v>
      </c>
      <c r="B4" s="140" t="s">
        <v>197</v>
      </c>
      <c r="C4" s="140" t="s">
        <v>74</v>
      </c>
      <c r="D4" s="140" t="s">
        <v>77</v>
      </c>
      <c r="E4" s="140"/>
      <c r="F4" s="129">
        <v>65</v>
      </c>
      <c r="G4" s="129">
        <v>2</v>
      </c>
      <c r="H4" s="129">
        <f t="shared" ref="H4:H18" si="0">F4*G4</f>
        <v>130</v>
      </c>
      <c r="J4" s="141" t="s">
        <v>74</v>
      </c>
      <c r="K4" s="142">
        <v>65</v>
      </c>
    </row>
    <row r="5" spans="1:16">
      <c r="A5" s="129">
        <v>3</v>
      </c>
      <c r="B5" s="140" t="s">
        <v>198</v>
      </c>
      <c r="C5" s="140" t="s">
        <v>74</v>
      </c>
      <c r="D5" s="140" t="s">
        <v>74</v>
      </c>
      <c r="E5" s="140"/>
      <c r="F5" s="129">
        <v>65</v>
      </c>
      <c r="G5" s="129">
        <v>2</v>
      </c>
      <c r="H5" s="129">
        <f t="shared" si="0"/>
        <v>130</v>
      </c>
      <c r="J5" s="141" t="s">
        <v>77</v>
      </c>
      <c r="K5" s="142">
        <v>65</v>
      </c>
    </row>
    <row r="6" spans="1:16">
      <c r="A6" s="129">
        <v>4</v>
      </c>
      <c r="B6" s="140" t="s">
        <v>107</v>
      </c>
      <c r="C6" s="140" t="s">
        <v>77</v>
      </c>
      <c r="D6" s="140" t="s">
        <v>74</v>
      </c>
      <c r="E6" s="140"/>
      <c r="F6" s="129">
        <v>65</v>
      </c>
      <c r="G6" s="129">
        <v>2</v>
      </c>
      <c r="H6" s="129">
        <f t="shared" si="0"/>
        <v>130</v>
      </c>
      <c r="J6" s="141" t="s">
        <v>83</v>
      </c>
      <c r="K6" s="142">
        <v>75</v>
      </c>
    </row>
    <row r="7" spans="1:16">
      <c r="A7" s="129">
        <v>5</v>
      </c>
      <c r="B7" s="140" t="s">
        <v>199</v>
      </c>
      <c r="C7" s="140" t="s">
        <v>74</v>
      </c>
      <c r="D7" s="140" t="s">
        <v>77</v>
      </c>
      <c r="E7" s="140"/>
      <c r="F7" s="129">
        <v>65</v>
      </c>
      <c r="G7" s="129">
        <v>2</v>
      </c>
      <c r="H7" s="129">
        <f t="shared" si="0"/>
        <v>130</v>
      </c>
      <c r="J7" s="141" t="s">
        <v>80</v>
      </c>
      <c r="K7" s="142">
        <v>85</v>
      </c>
    </row>
    <row r="8" spans="1:16">
      <c r="A8" s="129">
        <v>6</v>
      </c>
      <c r="B8" s="140" t="s">
        <v>109</v>
      </c>
      <c r="C8" s="140" t="s">
        <v>77</v>
      </c>
      <c r="D8" s="140" t="s">
        <v>77</v>
      </c>
      <c r="E8" s="140"/>
      <c r="F8" s="129">
        <v>65</v>
      </c>
      <c r="G8" s="129">
        <v>2</v>
      </c>
      <c r="H8" s="129">
        <f t="shared" si="0"/>
        <v>130</v>
      </c>
      <c r="J8" s="141" t="s">
        <v>196</v>
      </c>
      <c r="K8" s="142">
        <v>95</v>
      </c>
    </row>
    <row r="9" spans="1:16">
      <c r="A9" s="129">
        <v>7</v>
      </c>
      <c r="B9" s="140" t="s">
        <v>110</v>
      </c>
      <c r="C9" s="140" t="s">
        <v>80</v>
      </c>
      <c r="D9" s="140" t="s">
        <v>196</v>
      </c>
      <c r="E9" s="140"/>
      <c r="F9" s="129">
        <v>95</v>
      </c>
      <c r="G9" s="129">
        <v>2</v>
      </c>
      <c r="H9" s="129">
        <f t="shared" si="0"/>
        <v>190</v>
      </c>
    </row>
    <row r="10" spans="1:16">
      <c r="A10" s="129">
        <v>8</v>
      </c>
      <c r="B10" s="140" t="s">
        <v>176</v>
      </c>
      <c r="C10" s="145" t="s">
        <v>92</v>
      </c>
      <c r="D10" s="145" t="s">
        <v>74</v>
      </c>
      <c r="E10" s="145"/>
      <c r="F10" s="129">
        <v>65</v>
      </c>
      <c r="G10" s="129">
        <v>2</v>
      </c>
      <c r="H10" s="129">
        <f t="shared" si="0"/>
        <v>130</v>
      </c>
      <c r="J10" s="316"/>
      <c r="K10" s="316"/>
    </row>
    <row r="11" spans="1:16">
      <c r="A11" s="129">
        <v>9</v>
      </c>
      <c r="B11" s="140" t="s">
        <v>105</v>
      </c>
      <c r="C11" s="129" t="s">
        <v>83</v>
      </c>
      <c r="D11" s="129" t="s">
        <v>80</v>
      </c>
      <c r="E11" s="129"/>
      <c r="F11" s="129">
        <v>85</v>
      </c>
      <c r="G11" s="129">
        <v>2</v>
      </c>
      <c r="H11" s="129">
        <f t="shared" si="0"/>
        <v>170</v>
      </c>
      <c r="J11" s="157"/>
    </row>
    <row r="12" spans="1:16">
      <c r="A12" s="129">
        <v>10</v>
      </c>
      <c r="B12" s="198" t="s">
        <v>417</v>
      </c>
      <c r="C12" s="129"/>
      <c r="D12" s="129"/>
      <c r="E12" s="129"/>
      <c r="F12" s="129"/>
      <c r="G12" s="129">
        <v>2</v>
      </c>
      <c r="H12" s="129">
        <f t="shared" si="0"/>
        <v>0</v>
      </c>
      <c r="J12" s="150" t="s">
        <v>215</v>
      </c>
      <c r="K12" s="151" t="s">
        <v>17</v>
      </c>
      <c r="L12" s="150" t="s">
        <v>216</v>
      </c>
      <c r="M12" s="150" t="s">
        <v>226</v>
      </c>
      <c r="N12" s="150" t="s">
        <v>225</v>
      </c>
      <c r="O12" s="151" t="s">
        <v>2</v>
      </c>
    </row>
    <row r="13" spans="1:16">
      <c r="A13" s="129">
        <v>11</v>
      </c>
      <c r="B13" s="198" t="s">
        <v>440</v>
      </c>
      <c r="C13" s="129"/>
      <c r="D13" s="129"/>
      <c r="E13" s="129"/>
      <c r="F13" s="129"/>
      <c r="G13" s="129">
        <v>2</v>
      </c>
      <c r="H13" s="129">
        <f t="shared" si="0"/>
        <v>0</v>
      </c>
      <c r="J13" s="129">
        <v>15</v>
      </c>
      <c r="K13" s="140" t="s">
        <v>8</v>
      </c>
      <c r="L13" s="129">
        <v>26</v>
      </c>
      <c r="M13" s="146">
        <v>1850</v>
      </c>
      <c r="N13" s="146">
        <f>L13*3</f>
        <v>78</v>
      </c>
      <c r="O13" s="146">
        <f>M13+N13</f>
        <v>1928</v>
      </c>
    </row>
    <row r="14" spans="1:16">
      <c r="A14" s="129">
        <v>12</v>
      </c>
      <c r="B14" s="140" t="s">
        <v>99</v>
      </c>
      <c r="C14" s="140" t="s">
        <v>77</v>
      </c>
      <c r="D14" s="140" t="s">
        <v>83</v>
      </c>
      <c r="E14" s="140"/>
      <c r="F14" s="129">
        <v>75</v>
      </c>
      <c r="G14" s="129">
        <v>2</v>
      </c>
      <c r="H14" s="129">
        <f t="shared" si="0"/>
        <v>150</v>
      </c>
      <c r="J14" s="129">
        <v>8</v>
      </c>
      <c r="K14" s="140" t="s">
        <v>11</v>
      </c>
      <c r="L14" s="129">
        <v>16</v>
      </c>
      <c r="M14" s="146">
        <v>1160</v>
      </c>
      <c r="N14" s="146">
        <f>L14*3</f>
        <v>48</v>
      </c>
      <c r="O14" s="146">
        <f>M14+N14</f>
        <v>1208</v>
      </c>
    </row>
    <row r="15" spans="1:16">
      <c r="A15" s="129">
        <v>13</v>
      </c>
      <c r="B15" s="140" t="s">
        <v>100</v>
      </c>
      <c r="C15" s="129" t="s">
        <v>77</v>
      </c>
      <c r="D15" s="129" t="s">
        <v>77</v>
      </c>
      <c r="E15" s="129"/>
      <c r="F15" s="129">
        <v>65</v>
      </c>
      <c r="G15" s="129">
        <v>2</v>
      </c>
      <c r="H15" s="129">
        <f t="shared" si="0"/>
        <v>130</v>
      </c>
      <c r="J15" s="152">
        <f t="shared" ref="J15:O15" si="1">SUM(J13:J14)</f>
        <v>23</v>
      </c>
      <c r="K15" s="152">
        <f t="shared" si="1"/>
        <v>0</v>
      </c>
      <c r="L15" s="152">
        <f t="shared" si="1"/>
        <v>42</v>
      </c>
      <c r="M15" s="158">
        <f t="shared" si="1"/>
        <v>3010</v>
      </c>
      <c r="N15" s="153">
        <f t="shared" si="1"/>
        <v>126</v>
      </c>
      <c r="O15" s="153">
        <f t="shared" si="1"/>
        <v>3136</v>
      </c>
    </row>
    <row r="16" spans="1:16">
      <c r="A16" s="129">
        <v>14</v>
      </c>
      <c r="B16" s="140" t="s">
        <v>201</v>
      </c>
      <c r="C16" s="129" t="s">
        <v>74</v>
      </c>
      <c r="D16" s="129" t="s">
        <v>74</v>
      </c>
      <c r="E16" s="129"/>
      <c r="F16" s="129">
        <v>65</v>
      </c>
      <c r="G16" s="129">
        <v>2</v>
      </c>
      <c r="H16" s="129">
        <f t="shared" si="0"/>
        <v>130</v>
      </c>
      <c r="J16" s="316"/>
      <c r="K16" s="316"/>
    </row>
    <row r="17" spans="1:18">
      <c r="A17" s="129">
        <v>15</v>
      </c>
      <c r="B17" s="140" t="s">
        <v>202</v>
      </c>
      <c r="C17" s="140" t="s">
        <v>77</v>
      </c>
      <c r="D17" s="140" t="s">
        <v>77</v>
      </c>
      <c r="E17" s="140"/>
      <c r="F17" s="129">
        <v>65</v>
      </c>
      <c r="G17" s="129">
        <v>2</v>
      </c>
      <c r="H17" s="129">
        <f t="shared" si="0"/>
        <v>130</v>
      </c>
      <c r="I17" s="156"/>
      <c r="J17" s="157"/>
    </row>
    <row r="18" spans="1:18">
      <c r="A18" s="129"/>
      <c r="B18" s="140"/>
      <c r="C18" s="140"/>
      <c r="D18" s="140"/>
      <c r="E18" s="140"/>
      <c r="F18" s="129"/>
      <c r="G18" s="129"/>
      <c r="H18" s="129">
        <f t="shared" si="0"/>
        <v>0</v>
      </c>
      <c r="J18" s="157"/>
    </row>
    <row r="19" spans="1:18" ht="23.25">
      <c r="A19" s="313" t="s">
        <v>2</v>
      </c>
      <c r="B19" s="314"/>
      <c r="C19" s="314"/>
      <c r="D19" s="314"/>
      <c r="E19" s="314"/>
      <c r="F19" s="315"/>
      <c r="G19" s="143">
        <f>SUM(G3:G18)</f>
        <v>30</v>
      </c>
      <c r="H19" s="143">
        <f>SUM(H3:H18)</f>
        <v>1850</v>
      </c>
      <c r="I19" s="154"/>
    </row>
    <row r="20" spans="1:18">
      <c r="I20" s="155"/>
    </row>
    <row r="21" spans="1:18" ht="23.25">
      <c r="A21" s="308" t="s">
        <v>11</v>
      </c>
      <c r="B21" s="308"/>
      <c r="C21" s="308"/>
      <c r="D21" s="308"/>
      <c r="E21" s="308"/>
      <c r="F21" s="308"/>
      <c r="G21" s="308"/>
      <c r="H21" s="308"/>
      <c r="Q21" s="3"/>
      <c r="R21"/>
    </row>
    <row r="22" spans="1:18">
      <c r="A22" s="139" t="s">
        <v>141</v>
      </c>
      <c r="B22" s="139" t="s">
        <v>200</v>
      </c>
      <c r="C22" s="139" t="s">
        <v>191</v>
      </c>
      <c r="D22" s="139" t="s">
        <v>192</v>
      </c>
      <c r="E22" s="139"/>
      <c r="F22" s="139" t="s">
        <v>193</v>
      </c>
      <c r="G22" s="139" t="s">
        <v>194</v>
      </c>
      <c r="H22" s="139" t="s">
        <v>2</v>
      </c>
    </row>
    <row r="23" spans="1:18">
      <c r="A23" s="129">
        <v>1</v>
      </c>
      <c r="B23" s="140" t="s">
        <v>87</v>
      </c>
      <c r="C23" s="140" t="s">
        <v>83</v>
      </c>
      <c r="D23" s="140" t="s">
        <v>83</v>
      </c>
      <c r="E23" s="140"/>
      <c r="F23" s="129">
        <v>75</v>
      </c>
      <c r="G23" s="129">
        <v>2</v>
      </c>
      <c r="H23" s="129">
        <f>F23*G23</f>
        <v>150</v>
      </c>
    </row>
    <row r="24" spans="1:18">
      <c r="A24" s="129">
        <v>2</v>
      </c>
      <c r="B24" s="140" t="s">
        <v>85</v>
      </c>
      <c r="C24" s="140" t="s">
        <v>83</v>
      </c>
      <c r="D24" s="140" t="s">
        <v>83</v>
      </c>
      <c r="E24" s="140"/>
      <c r="F24" s="129">
        <v>75</v>
      </c>
      <c r="G24" s="129">
        <v>2</v>
      </c>
      <c r="H24" s="129">
        <f t="shared" ref="H24:H31" si="2">F24*G24</f>
        <v>150</v>
      </c>
    </row>
    <row r="25" spans="1:18">
      <c r="A25" s="129">
        <v>3</v>
      </c>
      <c r="B25" s="140" t="s">
        <v>86</v>
      </c>
      <c r="C25" s="140" t="s">
        <v>74</v>
      </c>
      <c r="D25" s="140" t="s">
        <v>74</v>
      </c>
      <c r="E25" s="140"/>
      <c r="F25" s="129">
        <v>65</v>
      </c>
      <c r="G25" s="129">
        <v>2</v>
      </c>
      <c r="H25" s="129">
        <f t="shared" si="2"/>
        <v>130</v>
      </c>
    </row>
    <row r="26" spans="1:18">
      <c r="A26" s="129">
        <v>4</v>
      </c>
      <c r="B26" s="140" t="s">
        <v>88</v>
      </c>
      <c r="C26" s="140" t="s">
        <v>77</v>
      </c>
      <c r="D26" s="140" t="s">
        <v>77</v>
      </c>
      <c r="E26" s="140"/>
      <c r="F26" s="129">
        <v>65</v>
      </c>
      <c r="G26" s="129">
        <v>2</v>
      </c>
      <c r="H26" s="129">
        <f t="shared" si="2"/>
        <v>130</v>
      </c>
    </row>
    <row r="27" spans="1:18">
      <c r="A27" s="129">
        <v>5</v>
      </c>
      <c r="B27" s="140" t="s">
        <v>78</v>
      </c>
      <c r="C27" s="140" t="s">
        <v>77</v>
      </c>
      <c r="D27" s="140" t="s">
        <v>77</v>
      </c>
      <c r="E27" s="140"/>
      <c r="F27" s="129">
        <v>65</v>
      </c>
      <c r="G27" s="129">
        <v>2</v>
      </c>
      <c r="H27" s="129">
        <f t="shared" si="2"/>
        <v>130</v>
      </c>
    </row>
    <row r="28" spans="1:18">
      <c r="A28" s="129">
        <v>6</v>
      </c>
      <c r="B28" s="140" t="s">
        <v>79</v>
      </c>
      <c r="C28" s="140" t="s">
        <v>80</v>
      </c>
      <c r="D28" s="140" t="s">
        <v>80</v>
      </c>
      <c r="E28" s="140"/>
      <c r="F28" s="129">
        <v>85</v>
      </c>
      <c r="G28" s="129">
        <v>2</v>
      </c>
      <c r="H28" s="129">
        <f t="shared" si="2"/>
        <v>170</v>
      </c>
    </row>
    <row r="29" spans="1:18">
      <c r="A29" s="129">
        <v>7</v>
      </c>
      <c r="B29" s="140" t="s">
        <v>203</v>
      </c>
      <c r="C29" s="140" t="s">
        <v>77</v>
      </c>
      <c r="D29" s="140" t="s">
        <v>77</v>
      </c>
      <c r="E29" s="140"/>
      <c r="F29" s="129">
        <v>65</v>
      </c>
      <c r="G29" s="129">
        <v>2</v>
      </c>
      <c r="H29" s="129">
        <f t="shared" si="2"/>
        <v>130</v>
      </c>
    </row>
    <row r="30" spans="1:18">
      <c r="A30" s="129">
        <v>8</v>
      </c>
      <c r="B30" s="140" t="s">
        <v>204</v>
      </c>
      <c r="C30" s="140" t="s">
        <v>80</v>
      </c>
      <c r="D30" s="140" t="s">
        <v>80</v>
      </c>
      <c r="E30" s="140"/>
      <c r="F30" s="129">
        <v>85</v>
      </c>
      <c r="G30" s="129">
        <v>2</v>
      </c>
      <c r="H30" s="129">
        <f t="shared" si="2"/>
        <v>170</v>
      </c>
      <c r="I30" s="156"/>
      <c r="J30" s="156"/>
      <c r="K30" s="156"/>
    </row>
    <row r="31" spans="1:18">
      <c r="A31" s="129"/>
      <c r="B31" s="140"/>
      <c r="C31" s="129"/>
      <c r="D31" s="129"/>
      <c r="E31" s="129"/>
      <c r="F31" s="129"/>
      <c r="G31" s="129"/>
      <c r="H31" s="129">
        <f t="shared" si="2"/>
        <v>0</v>
      </c>
    </row>
    <row r="32" spans="1:18" ht="23.25">
      <c r="A32" s="313" t="s">
        <v>2</v>
      </c>
      <c r="B32" s="314"/>
      <c r="C32" s="314"/>
      <c r="D32" s="314"/>
      <c r="E32" s="314"/>
      <c r="F32" s="315"/>
      <c r="G32" s="143">
        <f>SUM(G23:G31)</f>
        <v>16</v>
      </c>
      <c r="H32" s="143">
        <f>SUM(H23:H31)</f>
        <v>1160</v>
      </c>
      <c r="I32" s="154"/>
      <c r="J32" s="154"/>
      <c r="K32" s="154"/>
    </row>
    <row r="33" spans="1:15">
      <c r="I33" s="155"/>
      <c r="J33" s="155"/>
      <c r="K33" s="155"/>
    </row>
    <row r="34" spans="1:15" ht="23.25">
      <c r="A34" s="308" t="s">
        <v>9</v>
      </c>
      <c r="B34" s="308"/>
      <c r="C34" s="308"/>
      <c r="D34" s="308"/>
      <c r="E34" s="308"/>
      <c r="F34" s="308"/>
      <c r="G34" s="308"/>
      <c r="H34" s="308"/>
    </row>
    <row r="35" spans="1:15">
      <c r="A35" s="139" t="s">
        <v>141</v>
      </c>
      <c r="B35" s="139" t="s">
        <v>200</v>
      </c>
      <c r="C35" s="139" t="s">
        <v>191</v>
      </c>
      <c r="D35" s="139" t="s">
        <v>192</v>
      </c>
      <c r="E35" s="139" t="s">
        <v>811</v>
      </c>
      <c r="F35" s="139" t="s">
        <v>193</v>
      </c>
      <c r="G35" s="139" t="s">
        <v>194</v>
      </c>
      <c r="H35" s="139" t="s">
        <v>2</v>
      </c>
    </row>
    <row r="36" spans="1:15">
      <c r="A36" s="129">
        <v>1</v>
      </c>
      <c r="B36" s="140" t="s">
        <v>205</v>
      </c>
      <c r="C36" s="245" t="s">
        <v>814</v>
      </c>
      <c r="D36" s="245" t="s">
        <v>815</v>
      </c>
      <c r="E36" s="245"/>
      <c r="F36" s="129">
        <v>75</v>
      </c>
      <c r="G36" s="129">
        <v>2</v>
      </c>
      <c r="H36" s="129">
        <f t="shared" ref="H36:H45" si="3">F36*G36</f>
        <v>150</v>
      </c>
    </row>
    <row r="37" spans="1:15">
      <c r="A37" s="129">
        <v>2</v>
      </c>
      <c r="B37" s="140" t="s">
        <v>206</v>
      </c>
      <c r="C37" s="245" t="s">
        <v>77</v>
      </c>
      <c r="D37" s="140" t="s">
        <v>77</v>
      </c>
      <c r="E37" s="245" t="s">
        <v>813</v>
      </c>
      <c r="F37" s="129">
        <v>65</v>
      </c>
      <c r="G37" s="129">
        <v>2</v>
      </c>
      <c r="H37" s="129">
        <f t="shared" si="3"/>
        <v>130</v>
      </c>
    </row>
    <row r="38" spans="1:15">
      <c r="A38" s="129">
        <v>3</v>
      </c>
      <c r="B38" s="140" t="s">
        <v>207</v>
      </c>
      <c r="C38" s="140" t="s">
        <v>74</v>
      </c>
      <c r="D38" s="140" t="s">
        <v>74</v>
      </c>
      <c r="E38" s="245" t="s">
        <v>813</v>
      </c>
      <c r="F38" s="129">
        <v>65</v>
      </c>
      <c r="G38" s="129">
        <v>2</v>
      </c>
      <c r="H38" s="129">
        <f t="shared" si="3"/>
        <v>130</v>
      </c>
    </row>
    <row r="39" spans="1:15">
      <c r="A39" s="129">
        <v>4</v>
      </c>
      <c r="B39" s="140" t="s">
        <v>110</v>
      </c>
      <c r="C39" s="140" t="s">
        <v>74</v>
      </c>
      <c r="D39" s="140" t="s">
        <v>74</v>
      </c>
      <c r="E39" s="245" t="s">
        <v>812</v>
      </c>
      <c r="F39" s="129">
        <v>65</v>
      </c>
      <c r="G39" s="129">
        <v>2</v>
      </c>
      <c r="H39" s="129">
        <f t="shared" si="3"/>
        <v>130</v>
      </c>
    </row>
    <row r="40" spans="1:15">
      <c r="A40" s="129">
        <v>5</v>
      </c>
      <c r="B40" s="140" t="s">
        <v>208</v>
      </c>
      <c r="C40" s="140" t="s">
        <v>74</v>
      </c>
      <c r="D40" s="140" t="s">
        <v>77</v>
      </c>
      <c r="E40" s="245" t="s">
        <v>812</v>
      </c>
      <c r="F40" s="129">
        <v>65</v>
      </c>
      <c r="G40" s="129">
        <v>2</v>
      </c>
      <c r="H40" s="129">
        <f t="shared" si="3"/>
        <v>130</v>
      </c>
    </row>
    <row r="41" spans="1:15">
      <c r="A41" s="129">
        <v>6</v>
      </c>
      <c r="B41" s="245" t="s">
        <v>804</v>
      </c>
      <c r="C41" s="245" t="s">
        <v>77</v>
      </c>
      <c r="D41" s="245" t="s">
        <v>77</v>
      </c>
      <c r="E41" s="245" t="s">
        <v>812</v>
      </c>
      <c r="F41" s="129">
        <v>65</v>
      </c>
      <c r="G41" s="129">
        <v>2</v>
      </c>
      <c r="H41" s="129">
        <f t="shared" si="3"/>
        <v>130</v>
      </c>
    </row>
    <row r="42" spans="1:15">
      <c r="A42" s="129">
        <v>7</v>
      </c>
      <c r="B42" s="140" t="s">
        <v>73</v>
      </c>
      <c r="C42" s="140" t="s">
        <v>74</v>
      </c>
      <c r="D42" s="140" t="s">
        <v>74</v>
      </c>
      <c r="E42" s="245" t="s">
        <v>812</v>
      </c>
      <c r="F42" s="129">
        <v>65</v>
      </c>
      <c r="G42" s="129">
        <v>2</v>
      </c>
      <c r="H42" s="129">
        <f t="shared" si="3"/>
        <v>130</v>
      </c>
    </row>
    <row r="43" spans="1:15">
      <c r="A43" s="129">
        <v>8</v>
      </c>
      <c r="B43" s="245" t="s">
        <v>805</v>
      </c>
      <c r="C43" s="195" t="s">
        <v>74</v>
      </c>
      <c r="D43" s="195" t="s">
        <v>74</v>
      </c>
      <c r="E43" s="245" t="s">
        <v>812</v>
      </c>
      <c r="F43" s="129">
        <v>65</v>
      </c>
      <c r="G43" s="129">
        <v>2</v>
      </c>
      <c r="H43" s="129">
        <f t="shared" si="3"/>
        <v>130</v>
      </c>
    </row>
    <row r="44" spans="1:15">
      <c r="A44" s="129">
        <v>9</v>
      </c>
      <c r="B44" s="245" t="s">
        <v>806</v>
      </c>
      <c r="C44" s="245" t="s">
        <v>92</v>
      </c>
      <c r="D44" s="245" t="s">
        <v>92</v>
      </c>
      <c r="E44" s="245" t="s">
        <v>812</v>
      </c>
      <c r="F44" s="129">
        <v>65</v>
      </c>
      <c r="G44" s="129">
        <v>2</v>
      </c>
      <c r="H44" s="129">
        <f t="shared" si="3"/>
        <v>130</v>
      </c>
      <c r="I44" s="156"/>
    </row>
    <row r="45" spans="1:15">
      <c r="A45" s="129">
        <v>10</v>
      </c>
      <c r="B45" s="245" t="s">
        <v>809</v>
      </c>
      <c r="C45" s="245" t="s">
        <v>74</v>
      </c>
      <c r="D45" s="245" t="s">
        <v>74</v>
      </c>
      <c r="E45" s="245" t="s">
        <v>812</v>
      </c>
      <c r="F45" s="129">
        <v>65</v>
      </c>
      <c r="G45" s="129">
        <v>2</v>
      </c>
      <c r="H45" s="129">
        <f t="shared" si="3"/>
        <v>130</v>
      </c>
    </row>
    <row r="46" spans="1:15" ht="23.25">
      <c r="A46" s="309" t="s">
        <v>2</v>
      </c>
      <c r="B46" s="310"/>
      <c r="C46" s="310"/>
      <c r="D46" s="310"/>
      <c r="E46" s="310"/>
      <c r="F46" s="311"/>
      <c r="G46" s="148">
        <f>SUM(G36:G45)</f>
        <v>20</v>
      </c>
      <c r="H46" s="148">
        <f>SUM(H36:H45)</f>
        <v>1320</v>
      </c>
      <c r="I46" s="154"/>
      <c r="J46" s="150" t="s">
        <v>215</v>
      </c>
      <c r="K46" s="151" t="s">
        <v>17</v>
      </c>
      <c r="L46" s="150" t="s">
        <v>216</v>
      </c>
      <c r="M46" s="249" t="s">
        <v>810</v>
      </c>
      <c r="N46" s="150" t="s">
        <v>225</v>
      </c>
      <c r="O46" s="151" t="s">
        <v>2</v>
      </c>
    </row>
    <row r="47" spans="1:15">
      <c r="I47" s="155"/>
      <c r="J47" s="129">
        <v>10</v>
      </c>
      <c r="K47" s="140" t="s">
        <v>9</v>
      </c>
      <c r="L47" s="129">
        <f>G46</f>
        <v>20</v>
      </c>
      <c r="M47" s="146">
        <f>H46</f>
        <v>1320</v>
      </c>
      <c r="N47" s="146">
        <f>L47*3</f>
        <v>60</v>
      </c>
      <c r="O47" s="146">
        <f>M47+N47</f>
        <v>1380</v>
      </c>
    </row>
    <row r="48" spans="1:15" ht="23.25">
      <c r="A48" s="308" t="s">
        <v>25</v>
      </c>
      <c r="B48" s="308"/>
      <c r="C48" s="308"/>
      <c r="D48" s="308"/>
      <c r="E48" s="308"/>
      <c r="F48" s="308"/>
      <c r="G48" s="308"/>
      <c r="H48" s="308"/>
      <c r="J48" s="129">
        <v>10</v>
      </c>
      <c r="K48" s="140" t="s">
        <v>25</v>
      </c>
      <c r="L48" s="129">
        <f>G62</f>
        <v>21</v>
      </c>
      <c r="M48" s="146">
        <f>H62</f>
        <v>1505</v>
      </c>
      <c r="N48" s="146">
        <f>L48*3</f>
        <v>63</v>
      </c>
      <c r="O48" s="146">
        <f>M48+N48</f>
        <v>1568</v>
      </c>
    </row>
    <row r="49" spans="1:15">
      <c r="A49" s="139" t="s">
        <v>141</v>
      </c>
      <c r="B49" s="139" t="s">
        <v>200</v>
      </c>
      <c r="C49" s="139" t="s">
        <v>191</v>
      </c>
      <c r="D49" s="139" t="s">
        <v>192</v>
      </c>
      <c r="E49" s="139" t="s">
        <v>811</v>
      </c>
      <c r="F49" s="139" t="s">
        <v>193</v>
      </c>
      <c r="G49" s="139" t="s">
        <v>194</v>
      </c>
      <c r="H49" s="139" t="s">
        <v>2</v>
      </c>
      <c r="J49" s="129">
        <v>14</v>
      </c>
      <c r="K49" s="140" t="s">
        <v>7</v>
      </c>
      <c r="L49" s="129">
        <f>G81</f>
        <v>24</v>
      </c>
      <c r="M49" s="146">
        <f>H81</f>
        <v>1690</v>
      </c>
      <c r="N49" s="146">
        <f>L49*3</f>
        <v>72</v>
      </c>
      <c r="O49" s="146">
        <f>M49+N49</f>
        <v>1762</v>
      </c>
    </row>
    <row r="50" spans="1:15">
      <c r="A50" s="129">
        <v>1</v>
      </c>
      <c r="B50" s="140" t="s">
        <v>102</v>
      </c>
      <c r="C50" s="140" t="s">
        <v>77</v>
      </c>
      <c r="D50" s="140" t="s">
        <v>77</v>
      </c>
      <c r="E50" s="245" t="s">
        <v>813</v>
      </c>
      <c r="F50" s="129">
        <v>65</v>
      </c>
      <c r="G50" s="129">
        <v>3</v>
      </c>
      <c r="H50" s="129">
        <f>F50*G50</f>
        <v>195</v>
      </c>
      <c r="J50" s="152">
        <f t="shared" ref="J50:O50" si="4">SUM(J47:J49)</f>
        <v>34</v>
      </c>
      <c r="K50" s="152">
        <f t="shared" si="4"/>
        <v>0</v>
      </c>
      <c r="L50" s="152">
        <f t="shared" si="4"/>
        <v>65</v>
      </c>
      <c r="M50" s="158">
        <f t="shared" si="4"/>
        <v>4515</v>
      </c>
      <c r="N50" s="153">
        <f t="shared" si="4"/>
        <v>195</v>
      </c>
      <c r="O50" s="153">
        <f t="shared" si="4"/>
        <v>4710</v>
      </c>
    </row>
    <row r="51" spans="1:15">
      <c r="A51" s="129">
        <v>2</v>
      </c>
      <c r="B51" s="195" t="s">
        <v>423</v>
      </c>
      <c r="C51" s="195" t="s">
        <v>74</v>
      </c>
      <c r="D51" s="195" t="s">
        <v>74</v>
      </c>
      <c r="E51" s="245" t="s">
        <v>813</v>
      </c>
      <c r="F51" s="129">
        <v>65</v>
      </c>
      <c r="G51" s="129">
        <v>2</v>
      </c>
      <c r="H51" s="129">
        <f t="shared" ref="H51:H59" si="5">F51*G51</f>
        <v>130</v>
      </c>
    </row>
    <row r="52" spans="1:15">
      <c r="A52" s="129">
        <v>3</v>
      </c>
      <c r="B52" s="140" t="s">
        <v>174</v>
      </c>
      <c r="C52" s="140" t="s">
        <v>77</v>
      </c>
      <c r="D52" s="140" t="s">
        <v>83</v>
      </c>
      <c r="E52" s="245" t="s">
        <v>812</v>
      </c>
      <c r="F52" s="129">
        <v>75</v>
      </c>
      <c r="G52" s="129">
        <v>2</v>
      </c>
      <c r="H52" s="129">
        <f t="shared" si="5"/>
        <v>150</v>
      </c>
    </row>
    <row r="53" spans="1:15">
      <c r="A53" s="129">
        <v>4</v>
      </c>
      <c r="B53" s="140" t="s">
        <v>209</v>
      </c>
      <c r="C53" s="140" t="s">
        <v>74</v>
      </c>
      <c r="D53" s="140" t="s">
        <v>92</v>
      </c>
      <c r="E53" s="245" t="s">
        <v>812</v>
      </c>
      <c r="F53" s="129">
        <v>65</v>
      </c>
      <c r="G53" s="129">
        <v>2</v>
      </c>
      <c r="H53" s="129">
        <f t="shared" si="5"/>
        <v>130</v>
      </c>
      <c r="J53" s="152" t="s">
        <v>215</v>
      </c>
      <c r="K53" s="152" t="s">
        <v>17</v>
      </c>
      <c r="L53" s="152" t="s">
        <v>216</v>
      </c>
      <c r="M53" s="246" t="s">
        <v>810</v>
      </c>
      <c r="N53" s="248"/>
      <c r="O53" s="41"/>
    </row>
    <row r="54" spans="1:15">
      <c r="A54" s="129">
        <v>5</v>
      </c>
      <c r="B54" s="245" t="s">
        <v>808</v>
      </c>
      <c r="C54" s="195" t="s">
        <v>77</v>
      </c>
      <c r="D54" s="195" t="s">
        <v>77</v>
      </c>
      <c r="E54" s="245" t="s">
        <v>812</v>
      </c>
      <c r="F54" s="129">
        <v>65</v>
      </c>
      <c r="G54" s="129">
        <v>2</v>
      </c>
      <c r="H54" s="129">
        <f t="shared" si="5"/>
        <v>130</v>
      </c>
      <c r="J54" s="152">
        <v>9</v>
      </c>
      <c r="K54" s="152" t="s">
        <v>9</v>
      </c>
      <c r="L54" s="152">
        <v>20</v>
      </c>
      <c r="M54" s="247">
        <f>M47/2</f>
        <v>660</v>
      </c>
      <c r="N54" s="248"/>
      <c r="O54" s="41"/>
    </row>
    <row r="55" spans="1:15">
      <c r="A55" s="129">
        <v>6</v>
      </c>
      <c r="B55" s="145" t="s">
        <v>214</v>
      </c>
      <c r="C55" s="145" t="s">
        <v>74</v>
      </c>
      <c r="D55" s="145" t="s">
        <v>74</v>
      </c>
      <c r="E55" s="245" t="s">
        <v>812</v>
      </c>
      <c r="F55" s="129">
        <v>65</v>
      </c>
      <c r="G55" s="129">
        <v>2</v>
      </c>
      <c r="H55" s="129">
        <f t="shared" si="5"/>
        <v>130</v>
      </c>
      <c r="J55" s="152">
        <v>9</v>
      </c>
      <c r="K55" s="152" t="s">
        <v>25</v>
      </c>
      <c r="L55" s="152">
        <v>21</v>
      </c>
      <c r="M55" s="247">
        <f>M48/2</f>
        <v>752.5</v>
      </c>
      <c r="N55" s="248"/>
      <c r="O55" s="41"/>
    </row>
    <row r="56" spans="1:15">
      <c r="A56" s="129">
        <v>7</v>
      </c>
      <c r="B56" s="145" t="s">
        <v>90</v>
      </c>
      <c r="C56" s="145" t="s">
        <v>83</v>
      </c>
      <c r="D56" s="145" t="s">
        <v>196</v>
      </c>
      <c r="E56" s="245" t="s">
        <v>812</v>
      </c>
      <c r="F56" s="129">
        <v>95</v>
      </c>
      <c r="G56" s="129">
        <v>2</v>
      </c>
      <c r="H56" s="129">
        <f t="shared" si="5"/>
        <v>190</v>
      </c>
      <c r="J56" s="152">
        <v>15</v>
      </c>
      <c r="K56" s="152" t="s">
        <v>7</v>
      </c>
      <c r="L56" s="152">
        <v>24</v>
      </c>
      <c r="M56" s="247">
        <f>M49/2</f>
        <v>845</v>
      </c>
      <c r="N56" s="248"/>
      <c r="O56" s="41"/>
    </row>
    <row r="57" spans="1:15">
      <c r="A57" s="129">
        <v>8</v>
      </c>
      <c r="B57" s="245" t="s">
        <v>807</v>
      </c>
      <c r="C57" s="245" t="s">
        <v>83</v>
      </c>
      <c r="D57" s="245" t="s">
        <v>196</v>
      </c>
      <c r="E57" s="245" t="s">
        <v>812</v>
      </c>
      <c r="F57" s="129">
        <v>95</v>
      </c>
      <c r="G57" s="129">
        <v>2</v>
      </c>
      <c r="H57" s="129">
        <f t="shared" si="5"/>
        <v>190</v>
      </c>
      <c r="J57" s="152">
        <v>33</v>
      </c>
      <c r="K57" s="152">
        <v>0</v>
      </c>
      <c r="L57" s="152">
        <v>65</v>
      </c>
      <c r="M57" s="247">
        <f>M50/2</f>
        <v>2257.5</v>
      </c>
      <c r="N57" s="248"/>
      <c r="O57" s="41"/>
    </row>
    <row r="58" spans="1:15">
      <c r="A58" s="129">
        <v>9</v>
      </c>
      <c r="B58" s="129" t="s">
        <v>809</v>
      </c>
      <c r="C58" s="129" t="s">
        <v>74</v>
      </c>
      <c r="D58" s="129" t="s">
        <v>74</v>
      </c>
      <c r="E58" s="129" t="s">
        <v>813</v>
      </c>
      <c r="F58" s="129">
        <v>65</v>
      </c>
      <c r="G58" s="129">
        <v>2</v>
      </c>
      <c r="H58" s="129">
        <f t="shared" si="5"/>
        <v>130</v>
      </c>
      <c r="L58" s="3"/>
      <c r="O58" s="3"/>
    </row>
    <row r="59" spans="1:15">
      <c r="A59" s="129">
        <v>10</v>
      </c>
      <c r="B59" s="129" t="s">
        <v>809</v>
      </c>
      <c r="C59" s="129" t="s">
        <v>77</v>
      </c>
      <c r="D59" s="129" t="s">
        <v>77</v>
      </c>
      <c r="E59" s="129" t="s">
        <v>812</v>
      </c>
      <c r="F59" s="129">
        <v>65</v>
      </c>
      <c r="G59" s="129">
        <v>2</v>
      </c>
      <c r="H59" s="129">
        <f t="shared" si="5"/>
        <v>130</v>
      </c>
    </row>
    <row r="60" spans="1:15">
      <c r="A60" s="129">
        <v>11</v>
      </c>
      <c r="B60" s="195"/>
      <c r="C60" s="195"/>
      <c r="D60" s="195"/>
      <c r="E60" s="195"/>
      <c r="F60" s="129"/>
      <c r="G60" s="129"/>
      <c r="H60" s="129"/>
      <c r="I60" s="156"/>
      <c r="J60" s="156"/>
      <c r="K60" s="156"/>
    </row>
    <row r="61" spans="1:15">
      <c r="A61" s="129"/>
      <c r="B61" s="140"/>
      <c r="C61" s="140"/>
      <c r="D61" s="140"/>
      <c r="E61" s="140"/>
      <c r="F61" s="129"/>
      <c r="G61" s="129"/>
      <c r="H61" s="129"/>
    </row>
    <row r="62" spans="1:15" ht="23.25">
      <c r="A62" s="309" t="s">
        <v>2</v>
      </c>
      <c r="B62" s="310"/>
      <c r="C62" s="310"/>
      <c r="D62" s="310"/>
      <c r="E62" s="310"/>
      <c r="F62" s="311"/>
      <c r="G62" s="148">
        <f>SUM(G50:G61)</f>
        <v>21</v>
      </c>
      <c r="H62" s="148">
        <f>SUM(H50:H61)</f>
        <v>1505</v>
      </c>
      <c r="I62" s="154"/>
      <c r="J62" s="154"/>
      <c r="K62" s="154"/>
    </row>
    <row r="63" spans="1:15">
      <c r="I63" s="155"/>
      <c r="J63" s="155"/>
      <c r="K63" s="155"/>
    </row>
    <row r="64" spans="1:15" ht="23.25">
      <c r="A64" s="312" t="s">
        <v>7</v>
      </c>
      <c r="B64" s="312"/>
      <c r="C64" s="312"/>
      <c r="D64" s="312"/>
      <c r="E64" s="312"/>
      <c r="F64" s="312"/>
      <c r="G64" s="312"/>
      <c r="H64" s="312"/>
    </row>
    <row r="65" spans="1:11">
      <c r="A65" s="139" t="s">
        <v>141</v>
      </c>
      <c r="B65" s="139" t="s">
        <v>200</v>
      </c>
      <c r="C65" s="139" t="s">
        <v>191</v>
      </c>
      <c r="D65" s="139" t="s">
        <v>192</v>
      </c>
      <c r="E65" s="139" t="s">
        <v>811</v>
      </c>
      <c r="F65" s="139" t="s">
        <v>193</v>
      </c>
      <c r="G65" s="139" t="s">
        <v>194</v>
      </c>
      <c r="H65" s="139" t="s">
        <v>2</v>
      </c>
    </row>
    <row r="66" spans="1:11">
      <c r="A66" s="129">
        <v>1</v>
      </c>
      <c r="B66" s="140" t="s">
        <v>210</v>
      </c>
      <c r="C66" s="140" t="s">
        <v>83</v>
      </c>
      <c r="D66" s="140" t="s">
        <v>83</v>
      </c>
      <c r="E66" s="245" t="s">
        <v>812</v>
      </c>
      <c r="F66" s="129">
        <v>75</v>
      </c>
      <c r="G66" s="129">
        <v>1</v>
      </c>
      <c r="H66" s="129">
        <f>F66*G66</f>
        <v>75</v>
      </c>
    </row>
    <row r="67" spans="1:11">
      <c r="A67" s="129">
        <v>2</v>
      </c>
      <c r="B67" s="195" t="s">
        <v>419</v>
      </c>
      <c r="C67" s="195" t="s">
        <v>77</v>
      </c>
      <c r="D67" s="195" t="s">
        <v>77</v>
      </c>
      <c r="E67" s="245" t="s">
        <v>813</v>
      </c>
      <c r="F67" s="129">
        <v>65</v>
      </c>
      <c r="G67" s="129">
        <v>2</v>
      </c>
      <c r="H67" s="129">
        <f>F67*G67</f>
        <v>130</v>
      </c>
    </row>
    <row r="68" spans="1:11">
      <c r="A68" s="129">
        <v>3</v>
      </c>
      <c r="B68" s="140" t="s">
        <v>211</v>
      </c>
      <c r="C68" s="195" t="s">
        <v>80</v>
      </c>
      <c r="D68" s="195" t="s">
        <v>80</v>
      </c>
      <c r="E68" s="245" t="s">
        <v>812</v>
      </c>
      <c r="F68" s="129">
        <v>85</v>
      </c>
      <c r="G68" s="129">
        <v>2</v>
      </c>
      <c r="H68" s="129">
        <f t="shared" ref="H68:H74" si="6">F68*G68</f>
        <v>170</v>
      </c>
    </row>
    <row r="69" spans="1:11">
      <c r="A69" s="129">
        <v>4</v>
      </c>
      <c r="B69" s="195" t="s">
        <v>418</v>
      </c>
      <c r="C69" s="140" t="s">
        <v>77</v>
      </c>
      <c r="D69" s="140" t="s">
        <v>77</v>
      </c>
      <c r="E69" s="245" t="s">
        <v>812</v>
      </c>
      <c r="F69" s="129">
        <v>65</v>
      </c>
      <c r="G69" s="129">
        <v>2</v>
      </c>
      <c r="H69" s="129">
        <f t="shared" si="6"/>
        <v>130</v>
      </c>
    </row>
    <row r="70" spans="1:11">
      <c r="A70" s="129">
        <v>5</v>
      </c>
      <c r="B70" s="195" t="s">
        <v>420</v>
      </c>
      <c r="C70" s="195" t="s">
        <v>74</v>
      </c>
      <c r="D70" s="195" t="s">
        <v>74</v>
      </c>
      <c r="E70" s="245" t="s">
        <v>812</v>
      </c>
      <c r="F70" s="129">
        <v>65</v>
      </c>
      <c r="G70" s="129">
        <v>2</v>
      </c>
      <c r="H70" s="129">
        <f t="shared" si="6"/>
        <v>130</v>
      </c>
    </row>
    <row r="71" spans="1:11">
      <c r="A71" s="129">
        <v>6</v>
      </c>
      <c r="B71" s="195" t="s">
        <v>421</v>
      </c>
      <c r="C71" s="195" t="s">
        <v>77</v>
      </c>
      <c r="D71" s="195" t="s">
        <v>74</v>
      </c>
      <c r="E71" s="245" t="s">
        <v>812</v>
      </c>
      <c r="F71" s="129">
        <v>65</v>
      </c>
      <c r="G71" s="129">
        <v>2</v>
      </c>
      <c r="H71" s="129">
        <f t="shared" si="6"/>
        <v>130</v>
      </c>
    </row>
    <row r="72" spans="1:11">
      <c r="A72" s="129">
        <v>7</v>
      </c>
      <c r="B72" s="140" t="s">
        <v>212</v>
      </c>
      <c r="C72" s="145" t="s">
        <v>196</v>
      </c>
      <c r="D72" s="145" t="s">
        <v>196</v>
      </c>
      <c r="E72" s="245" t="s">
        <v>812</v>
      </c>
      <c r="F72" s="129">
        <v>95</v>
      </c>
      <c r="G72" s="129">
        <v>2</v>
      </c>
      <c r="H72" s="129">
        <f t="shared" si="6"/>
        <v>190</v>
      </c>
    </row>
    <row r="73" spans="1:11">
      <c r="A73" s="129">
        <v>8</v>
      </c>
      <c r="B73" s="140" t="s">
        <v>199</v>
      </c>
      <c r="C73" s="145" t="s">
        <v>77</v>
      </c>
      <c r="D73" s="145" t="s">
        <v>77</v>
      </c>
      <c r="E73" s="245" t="s">
        <v>812</v>
      </c>
      <c r="F73" s="129">
        <v>65</v>
      </c>
      <c r="G73" s="129">
        <v>2</v>
      </c>
      <c r="H73" s="129">
        <f t="shared" si="6"/>
        <v>130</v>
      </c>
    </row>
    <row r="74" spans="1:11">
      <c r="A74" s="129">
        <v>9</v>
      </c>
      <c r="B74" s="195" t="s">
        <v>422</v>
      </c>
      <c r="C74" s="195" t="s">
        <v>77</v>
      </c>
      <c r="D74" s="195" t="s">
        <v>77</v>
      </c>
      <c r="E74" s="245" t="s">
        <v>813</v>
      </c>
      <c r="F74" s="129">
        <v>65</v>
      </c>
      <c r="G74" s="129">
        <v>2</v>
      </c>
      <c r="H74" s="129">
        <f t="shared" si="6"/>
        <v>130</v>
      </c>
    </row>
    <row r="75" spans="1:11">
      <c r="A75" s="129">
        <v>10</v>
      </c>
      <c r="B75" s="145" t="s">
        <v>236</v>
      </c>
      <c r="C75" s="166" t="s">
        <v>77</v>
      </c>
      <c r="D75" s="166" t="s">
        <v>77</v>
      </c>
      <c r="E75" s="245" t="s">
        <v>812</v>
      </c>
      <c r="F75" s="129">
        <v>65</v>
      </c>
      <c r="G75" s="129">
        <v>1</v>
      </c>
      <c r="H75" s="129">
        <f t="shared" ref="H75:H80" si="7">F75*G75</f>
        <v>65</v>
      </c>
    </row>
    <row r="76" spans="1:11">
      <c r="A76" s="129">
        <v>11</v>
      </c>
      <c r="B76" s="145" t="s">
        <v>237</v>
      </c>
      <c r="C76" s="166" t="s">
        <v>83</v>
      </c>
      <c r="D76" s="166" t="s">
        <v>83</v>
      </c>
      <c r="E76" s="245" t="s">
        <v>812</v>
      </c>
      <c r="F76" s="129">
        <v>75</v>
      </c>
      <c r="G76" s="129">
        <v>2</v>
      </c>
      <c r="H76" s="129">
        <f t="shared" si="7"/>
        <v>150</v>
      </c>
    </row>
    <row r="77" spans="1:11">
      <c r="A77" s="129">
        <v>12</v>
      </c>
      <c r="B77" s="166" t="s">
        <v>250</v>
      </c>
      <c r="C77" s="166" t="s">
        <v>74</v>
      </c>
      <c r="D77" s="166" t="s">
        <v>74</v>
      </c>
      <c r="E77" s="245" t="s">
        <v>812</v>
      </c>
      <c r="F77" s="129">
        <v>65</v>
      </c>
      <c r="G77" s="129">
        <v>2</v>
      </c>
      <c r="H77" s="129">
        <f t="shared" si="7"/>
        <v>130</v>
      </c>
    </row>
    <row r="78" spans="1:11">
      <c r="A78" s="129">
        <v>13</v>
      </c>
      <c r="B78" s="245" t="s">
        <v>809</v>
      </c>
      <c r="C78" s="195" t="s">
        <v>74</v>
      </c>
      <c r="D78" s="195" t="s">
        <v>74</v>
      </c>
      <c r="E78" s="245" t="s">
        <v>812</v>
      </c>
      <c r="F78" s="129">
        <v>65</v>
      </c>
      <c r="G78" s="129">
        <v>1</v>
      </c>
      <c r="H78" s="129">
        <f t="shared" si="7"/>
        <v>65</v>
      </c>
    </row>
    <row r="79" spans="1:11">
      <c r="A79" s="129">
        <v>14</v>
      </c>
      <c r="B79" s="245" t="s">
        <v>809</v>
      </c>
      <c r="C79" s="195" t="s">
        <v>77</v>
      </c>
      <c r="D79" s="195" t="s">
        <v>77</v>
      </c>
      <c r="E79" s="245" t="s">
        <v>813</v>
      </c>
      <c r="F79" s="129">
        <v>65</v>
      </c>
      <c r="G79" s="129">
        <v>1</v>
      </c>
      <c r="H79" s="129">
        <f t="shared" si="7"/>
        <v>65</v>
      </c>
      <c r="I79" s="156"/>
      <c r="J79" s="156"/>
      <c r="K79" s="156"/>
    </row>
    <row r="80" spans="1:11">
      <c r="A80" s="129"/>
      <c r="B80" s="140"/>
      <c r="C80" s="140"/>
      <c r="D80" s="140"/>
      <c r="E80" s="140"/>
      <c r="F80" s="129"/>
      <c r="G80" s="129"/>
      <c r="H80" s="129">
        <f t="shared" si="7"/>
        <v>0</v>
      </c>
    </row>
    <row r="81" spans="1:8">
      <c r="A81" s="309" t="s">
        <v>2</v>
      </c>
      <c r="B81" s="310"/>
      <c r="C81" s="310"/>
      <c r="D81" s="310"/>
      <c r="E81" s="310"/>
      <c r="F81" s="311"/>
      <c r="G81" s="148">
        <f>SUM(G66:G80)</f>
        <v>24</v>
      </c>
      <c r="H81" s="148">
        <f>SUM(H66:H80)</f>
        <v>1690</v>
      </c>
    </row>
  </sheetData>
  <mergeCells count="12">
    <mergeCell ref="A1:H1"/>
    <mergeCell ref="A21:H21"/>
    <mergeCell ref="A34:H34"/>
    <mergeCell ref="A46:F46"/>
    <mergeCell ref="J10:K10"/>
    <mergeCell ref="J16:K16"/>
    <mergeCell ref="A48:H48"/>
    <mergeCell ref="A62:F62"/>
    <mergeCell ref="A64:H64"/>
    <mergeCell ref="A81:F81"/>
    <mergeCell ref="A19:F19"/>
    <mergeCell ref="A32:F3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F3F4-B212-4676-84E1-C9DBE051D5F9}">
  <dimension ref="A1:G30"/>
  <sheetViews>
    <sheetView zoomScale="90" zoomScaleNormal="90" workbookViewId="0">
      <selection activeCell="A33" sqref="A33"/>
    </sheetView>
  </sheetViews>
  <sheetFormatPr baseColWidth="10" defaultRowHeight="15"/>
  <cols>
    <col min="1" max="1" width="27.140625" bestFit="1" customWidth="1"/>
    <col min="5" max="6" width="15.5703125" style="178" bestFit="1" customWidth="1"/>
    <col min="7" max="7" width="24.28515625" bestFit="1" customWidth="1"/>
  </cols>
  <sheetData>
    <row r="1" spans="1:7">
      <c r="A1" t="s">
        <v>310</v>
      </c>
    </row>
    <row r="3" spans="1:7">
      <c r="A3" t="s">
        <v>311</v>
      </c>
      <c r="B3" s="176">
        <v>46142</v>
      </c>
      <c r="D3" s="177">
        <v>0.33333333333333331</v>
      </c>
      <c r="F3" s="178">
        <v>573133436071</v>
      </c>
    </row>
    <row r="4" spans="1:7">
      <c r="A4" t="s">
        <v>312</v>
      </c>
      <c r="B4" s="176">
        <v>46145</v>
      </c>
      <c r="D4" s="177">
        <v>0.66666666666666663</v>
      </c>
      <c r="F4" s="178">
        <v>573175787579</v>
      </c>
    </row>
    <row r="5" spans="1:7">
      <c r="A5" t="s">
        <v>313</v>
      </c>
      <c r="B5" s="176">
        <v>46145</v>
      </c>
      <c r="D5" s="177">
        <v>0.58333333333333337</v>
      </c>
      <c r="F5" s="178">
        <v>573004160543</v>
      </c>
    </row>
    <row r="6" spans="1:7">
      <c r="A6" t="s">
        <v>314</v>
      </c>
      <c r="B6" s="176">
        <v>46145</v>
      </c>
      <c r="D6" s="177">
        <v>0.54166666666666663</v>
      </c>
      <c r="F6" s="178">
        <v>573115053146</v>
      </c>
      <c r="G6" t="s">
        <v>335</v>
      </c>
    </row>
    <row r="7" spans="1:7">
      <c r="A7" t="s">
        <v>315</v>
      </c>
      <c r="B7" s="176">
        <v>46145</v>
      </c>
      <c r="D7" s="177">
        <v>0.54166666666666663</v>
      </c>
      <c r="F7" s="178">
        <v>573115053146</v>
      </c>
    </row>
    <row r="9" spans="1:7">
      <c r="A9" t="s">
        <v>316</v>
      </c>
      <c r="B9" s="176">
        <v>46134</v>
      </c>
      <c r="D9" s="177">
        <v>0.625</v>
      </c>
      <c r="F9" s="178">
        <v>573054087060</v>
      </c>
    </row>
    <row r="10" spans="1:7">
      <c r="A10" t="s">
        <v>317</v>
      </c>
      <c r="B10" s="176">
        <v>46135</v>
      </c>
      <c r="D10" s="177">
        <v>0.45833333333333331</v>
      </c>
      <c r="F10" s="178">
        <v>573142809712</v>
      </c>
    </row>
    <row r="11" spans="1:7">
      <c r="A11" t="s">
        <v>318</v>
      </c>
      <c r="B11" s="176">
        <v>46137</v>
      </c>
      <c r="D11" s="177">
        <v>0.5</v>
      </c>
      <c r="F11" s="178">
        <v>573132301411</v>
      </c>
    </row>
    <row r="12" spans="1:7">
      <c r="A12" t="s">
        <v>319</v>
      </c>
      <c r="B12" s="176">
        <v>46139</v>
      </c>
      <c r="D12" s="177">
        <v>0.5</v>
      </c>
      <c r="F12" s="178">
        <v>573203549379</v>
      </c>
    </row>
    <row r="13" spans="1:7">
      <c r="A13" t="s">
        <v>320</v>
      </c>
      <c r="B13" s="176">
        <v>46144</v>
      </c>
      <c r="D13" s="177">
        <v>0.33333333333333331</v>
      </c>
      <c r="F13" s="178">
        <v>573228915410</v>
      </c>
    </row>
    <row r="15" spans="1:7">
      <c r="A15" t="s">
        <v>321</v>
      </c>
      <c r="B15" s="176">
        <v>46143</v>
      </c>
      <c r="D15" s="177">
        <v>0.41666666666666669</v>
      </c>
      <c r="F15" s="178">
        <v>573168774252</v>
      </c>
    </row>
    <row r="16" spans="1:7">
      <c r="A16" t="s">
        <v>322</v>
      </c>
      <c r="B16" s="176">
        <v>46140</v>
      </c>
      <c r="D16" s="177">
        <v>0.33333333333333331</v>
      </c>
      <c r="F16" s="178">
        <v>573114938656</v>
      </c>
    </row>
    <row r="17" spans="1:7">
      <c r="A17" t="s">
        <v>323</v>
      </c>
      <c r="B17" s="176">
        <v>46143</v>
      </c>
      <c r="D17" s="177">
        <v>0.375</v>
      </c>
      <c r="F17" s="178">
        <v>573125349129</v>
      </c>
    </row>
    <row r="18" spans="1:7">
      <c r="A18" t="s">
        <v>324</v>
      </c>
      <c r="B18" s="176">
        <v>46139</v>
      </c>
      <c r="D18" s="177">
        <v>0.45833333333333331</v>
      </c>
      <c r="E18" s="178">
        <v>573102555488</v>
      </c>
      <c r="F18" s="178">
        <v>573102555488</v>
      </c>
      <c r="G18" t="s">
        <v>338</v>
      </c>
    </row>
    <row r="19" spans="1:7">
      <c r="A19" t="s">
        <v>325</v>
      </c>
      <c r="B19" s="176">
        <v>46139</v>
      </c>
      <c r="D19" s="177">
        <v>0.41666666666666669</v>
      </c>
      <c r="F19" s="178">
        <v>573106790495</v>
      </c>
    </row>
    <row r="20" spans="1:7">
      <c r="A20" t="s">
        <v>326</v>
      </c>
      <c r="B20" s="176">
        <v>46138</v>
      </c>
      <c r="D20" s="177">
        <v>0.58333333333333337</v>
      </c>
      <c r="F20" s="178">
        <v>573239436259</v>
      </c>
    </row>
    <row r="22" spans="1:7">
      <c r="A22" t="s">
        <v>327</v>
      </c>
      <c r="B22" s="176">
        <v>46143</v>
      </c>
      <c r="D22" s="177">
        <v>0.33333333333333331</v>
      </c>
      <c r="F22" s="179">
        <v>573104703806</v>
      </c>
    </row>
    <row r="23" spans="1:7">
      <c r="A23" t="s">
        <v>328</v>
      </c>
      <c r="B23" s="176">
        <v>46142</v>
      </c>
      <c r="D23" s="177">
        <v>0.375</v>
      </c>
      <c r="F23" s="178">
        <v>573124821706</v>
      </c>
    </row>
    <row r="24" spans="1:7">
      <c r="A24" t="s">
        <v>329</v>
      </c>
      <c r="B24" s="176">
        <v>46139</v>
      </c>
      <c r="D24" s="177">
        <v>0.41666666666666669</v>
      </c>
      <c r="F24" s="178">
        <v>573017224032</v>
      </c>
    </row>
    <row r="25" spans="1:7">
      <c r="A25" t="s">
        <v>330</v>
      </c>
      <c r="B25" s="176">
        <v>46142</v>
      </c>
      <c r="D25" s="177">
        <v>0.45833333333333331</v>
      </c>
      <c r="E25" s="178">
        <v>573028328283</v>
      </c>
      <c r="F25" s="178">
        <v>573028328283</v>
      </c>
    </row>
    <row r="26" spans="1:7">
      <c r="A26" t="s">
        <v>331</v>
      </c>
      <c r="B26" s="176">
        <v>46137</v>
      </c>
      <c r="D26" s="177">
        <v>0.54166666666666663</v>
      </c>
      <c r="F26" s="178">
        <v>573025050786</v>
      </c>
    </row>
    <row r="27" spans="1:7">
      <c r="A27" t="s">
        <v>332</v>
      </c>
      <c r="B27" s="176">
        <v>46140</v>
      </c>
      <c r="D27" s="177">
        <v>0.58333333333333337</v>
      </c>
      <c r="F27" s="178">
        <v>573195095097</v>
      </c>
      <c r="G27" t="s">
        <v>336</v>
      </c>
    </row>
    <row r="28" spans="1:7">
      <c r="A28" t="s">
        <v>333</v>
      </c>
      <c r="B28" s="176">
        <v>46141</v>
      </c>
      <c r="D28" s="177">
        <v>0.5625</v>
      </c>
      <c r="F28" s="178">
        <v>573132412079</v>
      </c>
    </row>
    <row r="29" spans="1:7">
      <c r="A29" t="s">
        <v>334</v>
      </c>
      <c r="B29" s="176">
        <v>46142</v>
      </c>
      <c r="D29" s="177">
        <v>0.54166666666666663</v>
      </c>
      <c r="F29" s="178">
        <v>573508134807</v>
      </c>
      <c r="G29" t="s">
        <v>337</v>
      </c>
    </row>
    <row r="30" spans="1:7">
      <c r="A30" t="s">
        <v>328</v>
      </c>
      <c r="B30" s="176">
        <v>46142</v>
      </c>
      <c r="D30" s="177">
        <v>0.16666666666666666</v>
      </c>
      <c r="F30" s="178">
        <v>573124821706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036D-1264-41BD-AD65-55A2D694A9A7}">
  <dimension ref="A1:BX123"/>
  <sheetViews>
    <sheetView showGridLines="0" zoomScale="50" zoomScaleNormal="50" workbookViewId="0">
      <pane xSplit="1" topLeftCell="B1" activePane="topRight" state="frozen"/>
      <selection pane="topRight" activeCell="Y115" sqref="Y115:AF121"/>
    </sheetView>
  </sheetViews>
  <sheetFormatPr baseColWidth="10" defaultColWidth="11.42578125" defaultRowHeight="15"/>
  <cols>
    <col min="1" max="1" width="44.42578125" customWidth="1"/>
    <col min="2" max="2" width="13.85546875" customWidth="1"/>
    <col min="3" max="4" width="16.140625" customWidth="1"/>
    <col min="5" max="5" width="15.5703125" customWidth="1"/>
    <col min="6" max="10" width="16.140625" customWidth="1"/>
    <col min="11" max="12" width="15.5703125" customWidth="1"/>
    <col min="13" max="14" width="16.140625" customWidth="1"/>
    <col min="15" max="15" width="15.5703125" customWidth="1"/>
    <col min="16" max="17" width="16.140625" customWidth="1"/>
    <col min="18" max="19" width="15.5703125" customWidth="1"/>
    <col min="20" max="20" width="16.140625" customWidth="1"/>
    <col min="21" max="21" width="17.7109375" customWidth="1"/>
    <col min="22" max="26" width="16.42578125" customWidth="1"/>
    <col min="27" max="27" width="16.85546875" customWidth="1"/>
    <col min="28" max="28" width="16.42578125" customWidth="1"/>
    <col min="29" max="29" width="17.42578125" customWidth="1"/>
    <col min="30" max="30" width="16.42578125" customWidth="1"/>
    <col min="31" max="31" width="16.85546875" customWidth="1"/>
    <col min="32" max="32" width="16" customWidth="1"/>
    <col min="33" max="33" width="18.28515625" style="3" customWidth="1"/>
    <col min="34" max="34" width="21.42578125" style="3" hidden="1" customWidth="1"/>
    <col min="35" max="35" width="37.28515625" style="3" customWidth="1"/>
    <col min="36" max="36" width="6.42578125" customWidth="1"/>
    <col min="37" max="37" width="41.28515625" customWidth="1"/>
    <col min="38" max="39" width="13" style="3" bestFit="1" customWidth="1"/>
    <col min="40" max="40" width="14.42578125" style="3" customWidth="1"/>
    <col min="41" max="41" width="17.5703125" style="3" customWidth="1"/>
    <col min="42" max="42" width="16.7109375" style="3" customWidth="1"/>
    <col min="43" max="43" width="20.85546875" style="3" bestFit="1" customWidth="1"/>
    <col min="44" max="44" width="24" style="3" customWidth="1"/>
    <col min="45" max="46" width="24.28515625" style="3" customWidth="1"/>
    <col min="47" max="47" width="30.42578125" style="3" customWidth="1"/>
    <col min="48" max="48" width="21.140625" style="3" customWidth="1"/>
    <col min="49" max="49" width="10.5703125" style="3" customWidth="1"/>
    <col min="51" max="51" width="33.5703125" customWidth="1"/>
    <col min="52" max="53" width="28.7109375" customWidth="1"/>
    <col min="54" max="54" width="29.85546875" customWidth="1"/>
    <col min="55" max="55" width="17" customWidth="1"/>
    <col min="58" max="58" width="14.140625" style="2" customWidth="1"/>
    <col min="59" max="59" width="17.7109375" style="2" customWidth="1"/>
    <col min="60" max="60" width="25.42578125" style="2" customWidth="1"/>
    <col min="61" max="61" width="26.5703125" style="2" customWidth="1"/>
  </cols>
  <sheetData>
    <row r="1" spans="1:61" ht="21" customHeight="1">
      <c r="A1" s="250" t="s">
        <v>129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59"/>
      <c r="AI1" s="60"/>
      <c r="AJ1" s="21"/>
      <c r="AK1" s="251" t="s">
        <v>270</v>
      </c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3"/>
      <c r="AY1" s="257" t="s">
        <v>1</v>
      </c>
      <c r="AZ1" s="258"/>
      <c r="BA1" s="258"/>
      <c r="BB1" s="258"/>
      <c r="BC1" s="259"/>
      <c r="BF1" s="263"/>
      <c r="BG1" s="263"/>
      <c r="BH1" s="263"/>
      <c r="BI1" s="263"/>
    </row>
    <row r="2" spans="1:61" s="1" customFormat="1" ht="23.25" customHeight="1" thickBot="1">
      <c r="A2" s="53"/>
      <c r="B2" s="54">
        <v>46113</v>
      </c>
      <c r="C2" s="54">
        <v>46114</v>
      </c>
      <c r="D2" s="54">
        <v>46115</v>
      </c>
      <c r="E2" s="54">
        <v>46116</v>
      </c>
      <c r="F2" s="54">
        <v>46117</v>
      </c>
      <c r="G2" s="54">
        <v>46118</v>
      </c>
      <c r="H2" s="54">
        <v>46119</v>
      </c>
      <c r="I2" s="54">
        <v>46120</v>
      </c>
      <c r="J2" s="54">
        <v>46121</v>
      </c>
      <c r="K2" s="54">
        <v>46122</v>
      </c>
      <c r="L2" s="54">
        <v>46123</v>
      </c>
      <c r="M2" s="54">
        <v>46124</v>
      </c>
      <c r="N2" s="54">
        <v>46125</v>
      </c>
      <c r="O2" s="54">
        <v>46126</v>
      </c>
      <c r="P2" s="54">
        <v>46127</v>
      </c>
      <c r="Q2" s="54">
        <v>46128</v>
      </c>
      <c r="R2" s="54">
        <v>46129</v>
      </c>
      <c r="S2" s="54">
        <v>46130</v>
      </c>
      <c r="T2" s="54">
        <v>46131</v>
      </c>
      <c r="U2" s="54">
        <v>46132</v>
      </c>
      <c r="V2" s="54">
        <v>46133</v>
      </c>
      <c r="W2" s="54">
        <v>46134</v>
      </c>
      <c r="X2" s="54">
        <v>46135</v>
      </c>
      <c r="Y2" s="54">
        <v>46136</v>
      </c>
      <c r="Z2" s="54">
        <v>46137</v>
      </c>
      <c r="AA2" s="54">
        <v>46138</v>
      </c>
      <c r="AB2" s="54">
        <v>46139</v>
      </c>
      <c r="AC2" s="54">
        <v>46140</v>
      </c>
      <c r="AD2" s="54">
        <v>46141</v>
      </c>
      <c r="AE2" s="54">
        <v>46142</v>
      </c>
      <c r="AF2" s="54"/>
      <c r="AG2" s="61" t="s">
        <v>2</v>
      </c>
      <c r="AH2" s="61" t="s">
        <v>3</v>
      </c>
      <c r="AI2" s="62" t="s">
        <v>4</v>
      </c>
      <c r="AJ2" s="21"/>
      <c r="AK2" s="254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6"/>
      <c r="AY2" s="260"/>
      <c r="AZ2" s="261"/>
      <c r="BA2" s="261"/>
      <c r="BB2" s="261"/>
      <c r="BC2" s="262"/>
      <c r="BF2" s="263"/>
      <c r="BG2" s="263"/>
      <c r="BH2" s="263"/>
      <c r="BI2" s="263"/>
    </row>
    <row r="3" spans="1:61" ht="21.75" thickBot="1">
      <c r="A3" s="55" t="s">
        <v>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63">
        <f>SUM(B3:AF3)</f>
        <v>0</v>
      </c>
      <c r="AH3" s="63"/>
      <c r="AI3" s="63">
        <f>AG3</f>
        <v>0</v>
      </c>
      <c r="AK3" s="64" t="s">
        <v>6</v>
      </c>
      <c r="AL3" s="65" t="s">
        <v>7</v>
      </c>
      <c r="AM3" s="65" t="s">
        <v>8</v>
      </c>
      <c r="AN3" s="65" t="s">
        <v>9</v>
      </c>
      <c r="AO3" s="65" t="s">
        <v>10</v>
      </c>
      <c r="AP3" s="65" t="s">
        <v>11</v>
      </c>
      <c r="AQ3" s="65" t="s">
        <v>13</v>
      </c>
      <c r="AR3" s="65" t="s">
        <v>125</v>
      </c>
      <c r="AS3" s="65" t="s">
        <v>126</v>
      </c>
      <c r="AT3" s="65" t="s">
        <v>305</v>
      </c>
      <c r="AU3" s="65" t="s">
        <v>14</v>
      </c>
      <c r="AV3" s="65" t="s">
        <v>15</v>
      </c>
      <c r="AW3" s="84" t="s">
        <v>2</v>
      </c>
      <c r="AY3" s="85" t="s">
        <v>16</v>
      </c>
      <c r="AZ3" s="86" t="s">
        <v>17</v>
      </c>
      <c r="BA3" s="86" t="s">
        <v>18</v>
      </c>
      <c r="BB3" s="86" t="s">
        <v>19</v>
      </c>
      <c r="BC3" s="86" t="s">
        <v>20</v>
      </c>
      <c r="BF3" s="110"/>
      <c r="BG3" s="110"/>
      <c r="BH3" s="111"/>
      <c r="BI3" s="110"/>
    </row>
    <row r="4" spans="1:61" ht="21">
      <c r="A4" s="55" t="s">
        <v>21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63">
        <f t="shared" ref="AG4:AG11" si="0">SUM(B4:AF4)</f>
        <v>0</v>
      </c>
      <c r="AH4" s="63"/>
      <c r="AI4" s="63">
        <f>AG4+AH6+AH7+AH8</f>
        <v>0</v>
      </c>
      <c r="AK4" s="66" t="s">
        <v>5</v>
      </c>
      <c r="AL4" s="67">
        <f>AI3</f>
        <v>0</v>
      </c>
      <c r="AM4" s="67">
        <f t="shared" ref="AM4:AM12" si="1">AI14</f>
        <v>0</v>
      </c>
      <c r="AN4" s="67">
        <f t="shared" ref="AN4:AN12" si="2">AI25</f>
        <v>0</v>
      </c>
      <c r="AO4" s="67">
        <f t="shared" ref="AO4:AO12" si="3">AI36</f>
        <v>0</v>
      </c>
      <c r="AP4" s="67">
        <f t="shared" ref="AP4:AP12" si="4">AI47</f>
        <v>0</v>
      </c>
      <c r="AQ4" s="67">
        <f t="shared" ref="AQ4:AQ12" si="5">AI58</f>
        <v>0</v>
      </c>
      <c r="AR4" s="67">
        <f t="shared" ref="AR4:AR12" si="6">AI69</f>
        <v>0</v>
      </c>
      <c r="AS4" s="67">
        <f t="shared" ref="AS4:AS12" si="7">AI80</f>
        <v>0</v>
      </c>
      <c r="AT4" s="67">
        <f t="shared" ref="AT4:AT12" si="8">AI115</f>
        <v>0</v>
      </c>
      <c r="AU4" s="67">
        <f t="shared" ref="AU4:AU12" si="9">AI91</f>
        <v>0</v>
      </c>
      <c r="AV4" s="67">
        <f t="shared" ref="AV4:AV12" si="10">AI102</f>
        <v>0</v>
      </c>
      <c r="AW4" s="87">
        <f t="shared" ref="AW4:AW12" si="11">SUM(AL4:AV4)</f>
        <v>0</v>
      </c>
      <c r="AY4" s="88">
        <v>1</v>
      </c>
      <c r="AZ4" s="88" t="s">
        <v>7</v>
      </c>
      <c r="BA4" s="88">
        <f>AL5</f>
        <v>0</v>
      </c>
      <c r="BB4" s="88">
        <f>AL7+AL9</f>
        <v>0</v>
      </c>
      <c r="BC4" s="89" t="e">
        <f>BB4/BA4</f>
        <v>#DIV/0!</v>
      </c>
      <c r="BF4" s="112"/>
      <c r="BG4" s="112"/>
      <c r="BH4" s="113"/>
      <c r="BI4" s="112"/>
    </row>
    <row r="5" spans="1:61" ht="21">
      <c r="A5" s="55" t="s">
        <v>22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56"/>
      <c r="AG5" s="63">
        <f t="shared" si="0"/>
        <v>0</v>
      </c>
      <c r="AH5" s="63"/>
      <c r="AI5" s="63">
        <f t="shared" ref="AI5:AI11" si="12">AG5-AH5</f>
        <v>0</v>
      </c>
      <c r="AK5" s="66" t="s">
        <v>21</v>
      </c>
      <c r="AL5" s="67">
        <f t="shared" ref="AL5:AL12" si="13">AI4</f>
        <v>0</v>
      </c>
      <c r="AM5" s="67">
        <f t="shared" si="1"/>
        <v>0</v>
      </c>
      <c r="AN5" s="67">
        <f t="shared" si="2"/>
        <v>0</v>
      </c>
      <c r="AO5" s="67">
        <f t="shared" si="3"/>
        <v>0</v>
      </c>
      <c r="AP5" s="67">
        <f t="shared" si="4"/>
        <v>0</v>
      </c>
      <c r="AQ5" s="67">
        <f t="shared" si="5"/>
        <v>0</v>
      </c>
      <c r="AR5" s="67">
        <f t="shared" si="6"/>
        <v>0</v>
      </c>
      <c r="AS5" s="67">
        <f t="shared" si="7"/>
        <v>0</v>
      </c>
      <c r="AT5" s="67">
        <f t="shared" si="8"/>
        <v>0</v>
      </c>
      <c r="AU5" s="67">
        <f t="shared" si="9"/>
        <v>0</v>
      </c>
      <c r="AV5" s="67">
        <f t="shared" si="10"/>
        <v>0</v>
      </c>
      <c r="AW5" s="87">
        <f t="shared" si="11"/>
        <v>0</v>
      </c>
      <c r="AY5" s="90">
        <v>2</v>
      </c>
      <c r="AZ5" s="90" t="s">
        <v>8</v>
      </c>
      <c r="BA5" s="90">
        <f>AM5</f>
        <v>0</v>
      </c>
      <c r="BB5" s="90">
        <f>AM7+AM9</f>
        <v>0</v>
      </c>
      <c r="BC5" s="89" t="e">
        <f t="shared" ref="BC5:BC13" si="14">BB5/BA5</f>
        <v>#DIV/0!</v>
      </c>
      <c r="BF5" s="112"/>
      <c r="BG5" s="112"/>
      <c r="BH5" s="113"/>
      <c r="BI5" s="114"/>
    </row>
    <row r="6" spans="1:61" ht="21">
      <c r="A6" s="55" t="s">
        <v>23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56"/>
      <c r="AG6" s="63">
        <f t="shared" si="0"/>
        <v>0</v>
      </c>
      <c r="AH6" s="63"/>
      <c r="AI6" s="63">
        <f t="shared" si="12"/>
        <v>0</v>
      </c>
      <c r="AK6" s="68" t="s">
        <v>22</v>
      </c>
      <c r="AL6" s="69">
        <f t="shared" si="13"/>
        <v>0</v>
      </c>
      <c r="AM6" s="69">
        <f t="shared" si="1"/>
        <v>0</v>
      </c>
      <c r="AN6" s="69">
        <f t="shared" si="2"/>
        <v>0</v>
      </c>
      <c r="AO6" s="69">
        <f t="shared" si="3"/>
        <v>0</v>
      </c>
      <c r="AP6" s="69">
        <f t="shared" si="4"/>
        <v>0</v>
      </c>
      <c r="AQ6" s="69">
        <f t="shared" si="5"/>
        <v>0</v>
      </c>
      <c r="AR6" s="69">
        <f t="shared" si="6"/>
        <v>0</v>
      </c>
      <c r="AS6" s="69">
        <f t="shared" si="7"/>
        <v>0</v>
      </c>
      <c r="AT6" s="69">
        <f t="shared" si="8"/>
        <v>0</v>
      </c>
      <c r="AU6" s="69">
        <f t="shared" si="9"/>
        <v>0</v>
      </c>
      <c r="AV6" s="69">
        <f t="shared" si="10"/>
        <v>0</v>
      </c>
      <c r="AW6" s="91">
        <f t="shared" si="11"/>
        <v>0</v>
      </c>
      <c r="AY6" s="90">
        <v>3</v>
      </c>
      <c r="AZ6" s="90" t="s">
        <v>9</v>
      </c>
      <c r="BA6" s="90">
        <f>AN5</f>
        <v>0</v>
      </c>
      <c r="BB6" s="90">
        <f>AN7+AN9</f>
        <v>0</v>
      </c>
      <c r="BC6" s="89" t="e">
        <f t="shared" si="14"/>
        <v>#DIV/0!</v>
      </c>
      <c r="BF6" s="112"/>
      <c r="BG6" s="112"/>
      <c r="BH6" s="113"/>
      <c r="BI6" s="112"/>
    </row>
    <row r="7" spans="1:61" ht="21">
      <c r="A7" s="55" t="s">
        <v>24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56"/>
      <c r="AG7" s="63">
        <f t="shared" si="0"/>
        <v>0</v>
      </c>
      <c r="AH7" s="63"/>
      <c r="AI7" s="63">
        <f t="shared" si="12"/>
        <v>0</v>
      </c>
      <c r="AK7" s="68" t="s">
        <v>23</v>
      </c>
      <c r="AL7" s="69">
        <f t="shared" si="13"/>
        <v>0</v>
      </c>
      <c r="AM7" s="69">
        <f t="shared" si="1"/>
        <v>0</v>
      </c>
      <c r="AN7" s="69">
        <f t="shared" si="2"/>
        <v>0</v>
      </c>
      <c r="AO7" s="69">
        <f t="shared" si="3"/>
        <v>0</v>
      </c>
      <c r="AP7" s="69">
        <f t="shared" si="4"/>
        <v>0</v>
      </c>
      <c r="AQ7" s="69">
        <f t="shared" si="5"/>
        <v>0</v>
      </c>
      <c r="AR7" s="69">
        <f t="shared" si="6"/>
        <v>0</v>
      </c>
      <c r="AS7" s="69">
        <f t="shared" si="7"/>
        <v>0</v>
      </c>
      <c r="AT7" s="69">
        <f t="shared" si="8"/>
        <v>0</v>
      </c>
      <c r="AU7" s="69">
        <f t="shared" si="9"/>
        <v>0</v>
      </c>
      <c r="AV7" s="69">
        <f t="shared" si="10"/>
        <v>0</v>
      </c>
      <c r="AW7" s="91">
        <f t="shared" si="11"/>
        <v>0</v>
      </c>
      <c r="AY7" s="90">
        <v>4</v>
      </c>
      <c r="AZ7" s="90" t="s">
        <v>25</v>
      </c>
      <c r="BA7" s="90">
        <f>AO5</f>
        <v>0</v>
      </c>
      <c r="BB7" s="90">
        <f>AO7+AO9</f>
        <v>0</v>
      </c>
      <c r="BC7" s="89" t="e">
        <f t="shared" si="14"/>
        <v>#DIV/0!</v>
      </c>
      <c r="BF7" s="112"/>
      <c r="BG7" s="112"/>
      <c r="BH7" s="113"/>
      <c r="BI7" s="114"/>
    </row>
    <row r="8" spans="1:61" ht="21">
      <c r="A8" s="55" t="s">
        <v>26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56"/>
      <c r="AG8" s="63">
        <f t="shared" si="0"/>
        <v>0</v>
      </c>
      <c r="AH8" s="63"/>
      <c r="AI8" s="63">
        <f t="shared" si="12"/>
        <v>0</v>
      </c>
      <c r="AJ8" t="s">
        <v>27</v>
      </c>
      <c r="AK8" s="68" t="s">
        <v>24</v>
      </c>
      <c r="AL8" s="69">
        <f t="shared" si="13"/>
        <v>0</v>
      </c>
      <c r="AM8" s="69">
        <f t="shared" si="1"/>
        <v>0</v>
      </c>
      <c r="AN8" s="69">
        <f t="shared" si="2"/>
        <v>0</v>
      </c>
      <c r="AO8" s="69">
        <f t="shared" si="3"/>
        <v>0</v>
      </c>
      <c r="AP8" s="69">
        <f t="shared" si="4"/>
        <v>0</v>
      </c>
      <c r="AQ8" s="69">
        <f t="shared" si="5"/>
        <v>0</v>
      </c>
      <c r="AR8" s="69">
        <f t="shared" si="6"/>
        <v>0</v>
      </c>
      <c r="AS8" s="69">
        <f t="shared" si="7"/>
        <v>0</v>
      </c>
      <c r="AT8" s="69">
        <f t="shared" si="8"/>
        <v>0</v>
      </c>
      <c r="AU8" s="69">
        <f t="shared" si="9"/>
        <v>0</v>
      </c>
      <c r="AV8" s="69">
        <f t="shared" si="10"/>
        <v>0</v>
      </c>
      <c r="AW8" s="91">
        <f t="shared" si="11"/>
        <v>0</v>
      </c>
      <c r="AY8" s="90">
        <v>5</v>
      </c>
      <c r="AZ8" s="90" t="s">
        <v>11</v>
      </c>
      <c r="BA8" s="90">
        <f>AP5</f>
        <v>0</v>
      </c>
      <c r="BB8" s="90">
        <f>AP7+AP9</f>
        <v>0</v>
      </c>
      <c r="BC8" s="89" t="e">
        <f t="shared" si="14"/>
        <v>#DIV/0!</v>
      </c>
      <c r="BF8" s="112"/>
      <c r="BG8" s="112"/>
      <c r="BH8" s="113"/>
      <c r="BI8" s="114"/>
    </row>
    <row r="9" spans="1:61" ht="21">
      <c r="A9" s="55" t="s">
        <v>28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63">
        <f t="shared" si="0"/>
        <v>0</v>
      </c>
      <c r="AH9" s="70"/>
      <c r="AI9" s="63">
        <f t="shared" si="12"/>
        <v>0</v>
      </c>
      <c r="AK9" s="68" t="s">
        <v>26</v>
      </c>
      <c r="AL9" s="69">
        <f t="shared" si="13"/>
        <v>0</v>
      </c>
      <c r="AM9" s="69">
        <f t="shared" si="1"/>
        <v>0</v>
      </c>
      <c r="AN9" s="69">
        <f t="shared" si="2"/>
        <v>0</v>
      </c>
      <c r="AO9" s="69">
        <f t="shared" si="3"/>
        <v>0</v>
      </c>
      <c r="AP9" s="69">
        <f t="shared" si="4"/>
        <v>0</v>
      </c>
      <c r="AQ9" s="69">
        <f t="shared" si="5"/>
        <v>0</v>
      </c>
      <c r="AR9" s="69">
        <f t="shared" si="6"/>
        <v>0</v>
      </c>
      <c r="AS9" s="69">
        <f t="shared" si="7"/>
        <v>0</v>
      </c>
      <c r="AT9" s="69">
        <f t="shared" si="8"/>
        <v>0</v>
      </c>
      <c r="AU9" s="69">
        <f t="shared" si="9"/>
        <v>0</v>
      </c>
      <c r="AV9" s="69">
        <f t="shared" si="10"/>
        <v>0</v>
      </c>
      <c r="AW9" s="91">
        <f t="shared" si="11"/>
        <v>0</v>
      </c>
      <c r="AY9" s="90">
        <v>6</v>
      </c>
      <c r="AZ9" s="90" t="s">
        <v>13</v>
      </c>
      <c r="BA9" s="90">
        <f>AQ5</f>
        <v>0</v>
      </c>
      <c r="BB9" s="90">
        <f>AQ7+AQ9</f>
        <v>0</v>
      </c>
      <c r="BC9" s="89" t="e">
        <f t="shared" si="14"/>
        <v>#DIV/0!</v>
      </c>
      <c r="BF9" s="112"/>
      <c r="BG9" s="112"/>
      <c r="BH9" s="113"/>
      <c r="BI9" s="112"/>
    </row>
    <row r="10" spans="1:61" ht="21">
      <c r="A10" s="55" t="s">
        <v>29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63">
        <f t="shared" si="0"/>
        <v>0</v>
      </c>
      <c r="AH10" s="71"/>
      <c r="AI10" s="63">
        <f t="shared" si="12"/>
        <v>0</v>
      </c>
      <c r="AK10" s="66" t="s">
        <v>28</v>
      </c>
      <c r="AL10" s="67">
        <f t="shared" si="13"/>
        <v>0</v>
      </c>
      <c r="AM10" s="67">
        <f t="shared" si="1"/>
        <v>0</v>
      </c>
      <c r="AN10" s="67">
        <f t="shared" si="2"/>
        <v>0</v>
      </c>
      <c r="AO10" s="67">
        <f t="shared" si="3"/>
        <v>0</v>
      </c>
      <c r="AP10" s="67">
        <f t="shared" si="4"/>
        <v>0</v>
      </c>
      <c r="AQ10" s="67">
        <f t="shared" si="5"/>
        <v>0</v>
      </c>
      <c r="AR10" s="67">
        <f t="shared" si="6"/>
        <v>0</v>
      </c>
      <c r="AS10" s="67">
        <f t="shared" si="7"/>
        <v>0</v>
      </c>
      <c r="AT10" s="67">
        <f t="shared" si="8"/>
        <v>0</v>
      </c>
      <c r="AU10" s="67">
        <f t="shared" si="9"/>
        <v>0</v>
      </c>
      <c r="AV10" s="67">
        <f t="shared" si="10"/>
        <v>0</v>
      </c>
      <c r="AW10" s="87">
        <f t="shared" si="11"/>
        <v>0</v>
      </c>
      <c r="AY10" s="90">
        <v>7</v>
      </c>
      <c r="AZ10" s="90" t="s">
        <v>125</v>
      </c>
      <c r="BA10" s="90">
        <f>AR5</f>
        <v>0</v>
      </c>
      <c r="BB10" s="90">
        <f>AR7+AR9</f>
        <v>0</v>
      </c>
      <c r="BC10" s="89" t="e">
        <f t="shared" si="14"/>
        <v>#DIV/0!</v>
      </c>
      <c r="BF10" s="112"/>
      <c r="BG10" s="112"/>
      <c r="BH10" s="113"/>
      <c r="BI10" s="112"/>
    </row>
    <row r="11" spans="1:61" ht="21">
      <c r="A11" s="55" t="s">
        <v>31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63">
        <f t="shared" si="0"/>
        <v>0</v>
      </c>
      <c r="AH11" s="70"/>
      <c r="AI11" s="63">
        <f t="shared" si="12"/>
        <v>0</v>
      </c>
      <c r="AK11" s="66" t="s">
        <v>29</v>
      </c>
      <c r="AL11" s="72">
        <f t="shared" si="13"/>
        <v>0</v>
      </c>
      <c r="AM11" s="72">
        <f t="shared" si="1"/>
        <v>0</v>
      </c>
      <c r="AN11" s="72">
        <f t="shared" si="2"/>
        <v>0</v>
      </c>
      <c r="AO11" s="72">
        <f t="shared" si="3"/>
        <v>0</v>
      </c>
      <c r="AP11" s="72">
        <f t="shared" si="4"/>
        <v>0</v>
      </c>
      <c r="AQ11" s="72">
        <f t="shared" si="5"/>
        <v>0</v>
      </c>
      <c r="AR11" s="72">
        <f t="shared" si="6"/>
        <v>0</v>
      </c>
      <c r="AS11" s="72">
        <f t="shared" si="7"/>
        <v>0</v>
      </c>
      <c r="AT11" s="67">
        <f t="shared" si="8"/>
        <v>0</v>
      </c>
      <c r="AU11" s="72">
        <f t="shared" si="9"/>
        <v>0</v>
      </c>
      <c r="AV11" s="72">
        <f t="shared" si="10"/>
        <v>0</v>
      </c>
      <c r="AW11" s="92">
        <f t="shared" si="11"/>
        <v>0</v>
      </c>
      <c r="AY11" s="90">
        <v>8</v>
      </c>
      <c r="AZ11" s="90" t="s">
        <v>126</v>
      </c>
      <c r="BA11" s="90">
        <f>AS5</f>
        <v>0</v>
      </c>
      <c r="BB11" s="90">
        <f>AS7+AS9</f>
        <v>0</v>
      </c>
      <c r="BC11" s="89" t="e">
        <f t="shared" si="14"/>
        <v>#DIV/0!</v>
      </c>
      <c r="BF11" s="112"/>
      <c r="BG11" s="112"/>
      <c r="BH11" s="113"/>
      <c r="BI11" s="112"/>
    </row>
    <row r="12" spans="1:61" ht="23.25">
      <c r="A12" s="250" t="s">
        <v>130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59"/>
      <c r="AI12" s="60"/>
      <c r="AK12" s="66" t="s">
        <v>31</v>
      </c>
      <c r="AL12" s="72">
        <f t="shared" si="13"/>
        <v>0</v>
      </c>
      <c r="AM12" s="72">
        <f t="shared" si="1"/>
        <v>0</v>
      </c>
      <c r="AN12" s="72">
        <f t="shared" si="2"/>
        <v>0</v>
      </c>
      <c r="AO12" s="72">
        <f t="shared" si="3"/>
        <v>0</v>
      </c>
      <c r="AP12" s="72">
        <f t="shared" si="4"/>
        <v>0</v>
      </c>
      <c r="AQ12" s="72">
        <f t="shared" si="5"/>
        <v>0</v>
      </c>
      <c r="AR12" s="72">
        <f t="shared" si="6"/>
        <v>0</v>
      </c>
      <c r="AS12" s="72">
        <f t="shared" si="7"/>
        <v>0</v>
      </c>
      <c r="AT12" s="67">
        <f t="shared" si="8"/>
        <v>0</v>
      </c>
      <c r="AU12" s="72">
        <f t="shared" si="9"/>
        <v>0</v>
      </c>
      <c r="AV12" s="72">
        <f t="shared" si="10"/>
        <v>0</v>
      </c>
      <c r="AW12" s="92">
        <f t="shared" si="11"/>
        <v>0</v>
      </c>
      <c r="AY12" s="90">
        <v>9</v>
      </c>
      <c r="AZ12" s="90" t="s">
        <v>14</v>
      </c>
      <c r="BA12" s="90">
        <f>AU5</f>
        <v>0</v>
      </c>
      <c r="BB12" s="90">
        <f>AU7+AU9</f>
        <v>0</v>
      </c>
      <c r="BC12" s="89" t="e">
        <f t="shared" si="14"/>
        <v>#DIV/0!</v>
      </c>
      <c r="BF12" s="112"/>
      <c r="BG12" s="112"/>
      <c r="BH12" s="113"/>
      <c r="BI12" s="114"/>
    </row>
    <row r="13" spans="1:61" ht="21">
      <c r="A13" s="53"/>
      <c r="B13" s="54">
        <v>46113</v>
      </c>
      <c r="C13" s="54">
        <v>46114</v>
      </c>
      <c r="D13" s="54">
        <v>46115</v>
      </c>
      <c r="E13" s="54">
        <v>46116</v>
      </c>
      <c r="F13" s="54">
        <v>46117</v>
      </c>
      <c r="G13" s="54">
        <v>46118</v>
      </c>
      <c r="H13" s="54">
        <v>46119</v>
      </c>
      <c r="I13" s="54">
        <v>46120</v>
      </c>
      <c r="J13" s="54">
        <v>46121</v>
      </c>
      <c r="K13" s="54">
        <v>46122</v>
      </c>
      <c r="L13" s="54">
        <v>46123</v>
      </c>
      <c r="M13" s="54">
        <v>46124</v>
      </c>
      <c r="N13" s="54">
        <v>46125</v>
      </c>
      <c r="O13" s="54">
        <v>46126</v>
      </c>
      <c r="P13" s="54">
        <v>46127</v>
      </c>
      <c r="Q13" s="54">
        <v>46128</v>
      </c>
      <c r="R13" s="54">
        <v>46129</v>
      </c>
      <c r="S13" s="54">
        <v>46130</v>
      </c>
      <c r="T13" s="54">
        <v>46131</v>
      </c>
      <c r="U13" s="54">
        <v>46132</v>
      </c>
      <c r="V13" s="54">
        <v>46133</v>
      </c>
      <c r="W13" s="54">
        <v>46134</v>
      </c>
      <c r="X13" s="54">
        <v>46135</v>
      </c>
      <c r="Y13" s="54">
        <v>46136</v>
      </c>
      <c r="Z13" s="54">
        <v>46137</v>
      </c>
      <c r="AA13" s="54">
        <v>46138</v>
      </c>
      <c r="AB13" s="54">
        <v>46139</v>
      </c>
      <c r="AC13" s="54">
        <v>46140</v>
      </c>
      <c r="AD13" s="54">
        <v>46141</v>
      </c>
      <c r="AE13" s="54">
        <v>46142</v>
      </c>
      <c r="AF13" s="54"/>
      <c r="AG13" s="61" t="s">
        <v>2</v>
      </c>
      <c r="AH13" s="61" t="s">
        <v>3</v>
      </c>
      <c r="AI13" s="62" t="s">
        <v>33</v>
      </c>
      <c r="AK13" s="73" t="s">
        <v>34</v>
      </c>
      <c r="AL13" s="74">
        <f>AL7+AL9</f>
        <v>0</v>
      </c>
      <c r="AM13" s="74">
        <f t="shared" ref="AM13:AW13" si="15">AM7+AM9</f>
        <v>0</v>
      </c>
      <c r="AN13" s="74">
        <f t="shared" si="15"/>
        <v>0</v>
      </c>
      <c r="AO13" s="74">
        <f t="shared" si="15"/>
        <v>0</v>
      </c>
      <c r="AP13" s="74">
        <f t="shared" si="15"/>
        <v>0</v>
      </c>
      <c r="AQ13" s="74">
        <f t="shared" si="15"/>
        <v>0</v>
      </c>
      <c r="AR13" s="74">
        <f t="shared" si="15"/>
        <v>0</v>
      </c>
      <c r="AS13" s="74">
        <f t="shared" si="15"/>
        <v>0</v>
      </c>
      <c r="AT13" s="74">
        <f t="shared" si="15"/>
        <v>0</v>
      </c>
      <c r="AU13" s="74">
        <f t="shared" si="15"/>
        <v>0</v>
      </c>
      <c r="AV13" s="74">
        <f t="shared" si="15"/>
        <v>0</v>
      </c>
      <c r="AW13" s="93">
        <f t="shared" si="15"/>
        <v>0</v>
      </c>
      <c r="AY13" s="90">
        <v>10</v>
      </c>
      <c r="AZ13" s="90" t="s">
        <v>15</v>
      </c>
      <c r="BA13" s="90">
        <f>AV5</f>
        <v>0</v>
      </c>
      <c r="BB13" s="90">
        <f>AV7+AV9</f>
        <v>0</v>
      </c>
      <c r="BC13" s="89" t="e">
        <f t="shared" si="14"/>
        <v>#DIV/0!</v>
      </c>
      <c r="BF13" s="112"/>
      <c r="BG13" s="112"/>
      <c r="BH13" s="113"/>
      <c r="BI13" s="114"/>
    </row>
    <row r="14" spans="1:61" ht="21.75" thickBot="1">
      <c r="A14" s="55" t="s">
        <v>5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63">
        <f>SUM(B14:AF14)</f>
        <v>0</v>
      </c>
      <c r="AH14" s="63"/>
      <c r="AI14" s="63">
        <f>AG14</f>
        <v>0</v>
      </c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Y14" s="63"/>
      <c r="AZ14" s="63"/>
      <c r="BA14" s="63"/>
      <c r="BB14" s="63"/>
      <c r="BC14" s="63"/>
      <c r="BF14" s="112"/>
      <c r="BG14" s="112"/>
      <c r="BH14" s="113"/>
      <c r="BI14" s="114"/>
    </row>
    <row r="15" spans="1:61" ht="21">
      <c r="A15" s="55" t="s">
        <v>21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63">
        <f t="shared" ref="AG15:AG22" si="16">SUM(B15:AF15)</f>
        <v>0</v>
      </c>
      <c r="AH15" s="63"/>
      <c r="AI15" s="63">
        <f>AG15+AH17+AH18+AH19</f>
        <v>0</v>
      </c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Y15" s="94" t="s">
        <v>35</v>
      </c>
      <c r="AZ15" s="95" t="s">
        <v>36</v>
      </c>
      <c r="BA15" s="95" t="s">
        <v>2</v>
      </c>
      <c r="BB15" s="95" t="s">
        <v>37</v>
      </c>
      <c r="BC15" s="96" t="s">
        <v>38</v>
      </c>
      <c r="BF15" s="112"/>
      <c r="BG15" s="112"/>
      <c r="BH15" s="113"/>
      <c r="BI15" s="112"/>
    </row>
    <row r="16" spans="1:61" ht="18.75" customHeight="1">
      <c r="A16" s="55" t="s">
        <v>22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56"/>
      <c r="AG16" s="63">
        <f t="shared" si="16"/>
        <v>0</v>
      </c>
      <c r="AH16" s="63"/>
      <c r="AI16" s="63">
        <f>AG16+AH17+AH18+AH19</f>
        <v>0</v>
      </c>
      <c r="AK16" s="265" t="s">
        <v>271</v>
      </c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7"/>
      <c r="AY16" s="97">
        <v>100</v>
      </c>
      <c r="AZ16" s="98">
        <v>0.02</v>
      </c>
      <c r="BA16" s="63">
        <f t="shared" ref="BA16:BA25" si="17">AY16*AZ16</f>
        <v>2</v>
      </c>
      <c r="BB16" s="63">
        <v>1</v>
      </c>
      <c r="BC16" s="99">
        <f>BA16-BB16</f>
        <v>1</v>
      </c>
      <c r="BF16" s="112"/>
      <c r="BG16" s="112"/>
      <c r="BH16" s="113"/>
      <c r="BI16" s="114"/>
    </row>
    <row r="17" spans="1:61" ht="18.75" customHeight="1">
      <c r="A17" s="55" t="s">
        <v>23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56"/>
      <c r="AG17" s="63">
        <f t="shared" si="16"/>
        <v>0</v>
      </c>
      <c r="AH17" s="63"/>
      <c r="AI17" s="63">
        <f t="shared" ref="AI17:AI22" si="18">AG17-AH17</f>
        <v>0</v>
      </c>
      <c r="AK17" s="268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70"/>
      <c r="AY17" s="97">
        <v>200</v>
      </c>
      <c r="AZ17" s="98">
        <v>0.02</v>
      </c>
      <c r="BA17" s="63">
        <f t="shared" si="17"/>
        <v>4</v>
      </c>
      <c r="BB17" s="63">
        <v>1</v>
      </c>
      <c r="BC17" s="99">
        <f t="shared" ref="BC17:BC25" si="19">BA17-BB17</f>
        <v>3</v>
      </c>
      <c r="BF17" s="112"/>
      <c r="BG17" s="112"/>
      <c r="BH17" s="113"/>
      <c r="BI17" s="112"/>
    </row>
    <row r="18" spans="1:61" ht="23.25">
      <c r="A18" s="55" t="s">
        <v>24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56"/>
      <c r="AG18" s="63">
        <f t="shared" si="16"/>
        <v>0</v>
      </c>
      <c r="AH18" s="63"/>
      <c r="AI18" s="63">
        <f t="shared" si="18"/>
        <v>0</v>
      </c>
      <c r="AK18" s="75" t="s">
        <v>6</v>
      </c>
      <c r="AL18" s="76" t="s">
        <v>7</v>
      </c>
      <c r="AM18" s="76" t="s">
        <v>8</v>
      </c>
      <c r="AN18" s="76" t="s">
        <v>9</v>
      </c>
      <c r="AO18" s="76" t="s">
        <v>10</v>
      </c>
      <c r="AP18" s="76" t="s">
        <v>11</v>
      </c>
      <c r="AQ18" s="65" t="s">
        <v>13</v>
      </c>
      <c r="AR18" s="65" t="s">
        <v>125</v>
      </c>
      <c r="AS18" s="65" t="s">
        <v>126</v>
      </c>
      <c r="AT18" s="65" t="s">
        <v>305</v>
      </c>
      <c r="AU18" s="76" t="s">
        <v>14</v>
      </c>
      <c r="AV18" s="76" t="s">
        <v>15</v>
      </c>
      <c r="AW18" s="100" t="s">
        <v>2</v>
      </c>
      <c r="AY18" s="97">
        <v>300</v>
      </c>
      <c r="AZ18" s="98">
        <v>0.02</v>
      </c>
      <c r="BA18" s="63">
        <f t="shared" si="17"/>
        <v>6</v>
      </c>
      <c r="BB18" s="63">
        <v>1</v>
      </c>
      <c r="BC18" s="99">
        <f t="shared" si="19"/>
        <v>5</v>
      </c>
      <c r="BF18" s="115"/>
      <c r="BG18" s="115"/>
      <c r="BH18" s="115"/>
      <c r="BI18" s="112"/>
    </row>
    <row r="19" spans="1:61" ht="23.25">
      <c r="A19" s="55" t="s">
        <v>26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56"/>
      <c r="AG19" s="63">
        <f t="shared" si="16"/>
        <v>0</v>
      </c>
      <c r="AH19" s="63"/>
      <c r="AI19" s="63">
        <f t="shared" si="18"/>
        <v>0</v>
      </c>
      <c r="AK19" s="77" t="s">
        <v>5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101"/>
      <c r="AY19" s="97">
        <v>400</v>
      </c>
      <c r="AZ19" s="98">
        <v>0.02</v>
      </c>
      <c r="BA19" s="63">
        <f t="shared" si="17"/>
        <v>8</v>
      </c>
      <c r="BB19" s="63">
        <v>1</v>
      </c>
      <c r="BC19" s="99">
        <f t="shared" si="19"/>
        <v>7</v>
      </c>
      <c r="BF19" s="112"/>
      <c r="BG19" s="112"/>
      <c r="BH19" s="113"/>
      <c r="BI19" s="116"/>
    </row>
    <row r="20" spans="1:61" ht="23.25">
      <c r="A20" s="55" t="s">
        <v>28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3">
        <f t="shared" si="16"/>
        <v>0</v>
      </c>
      <c r="AH20" s="70"/>
      <c r="AI20" s="63">
        <f t="shared" si="18"/>
        <v>0</v>
      </c>
      <c r="AK20" s="77" t="s">
        <v>40</v>
      </c>
      <c r="AL20" s="79" t="e">
        <f>+AL5/AL4</f>
        <v>#DIV/0!</v>
      </c>
      <c r="AM20" s="79" t="e">
        <f t="shared" ref="AM20:AW21" si="20">+AM5/AM4</f>
        <v>#DIV/0!</v>
      </c>
      <c r="AN20" s="79" t="e">
        <f t="shared" si="20"/>
        <v>#DIV/0!</v>
      </c>
      <c r="AO20" s="79" t="e">
        <f t="shared" si="20"/>
        <v>#DIV/0!</v>
      </c>
      <c r="AP20" s="79" t="e">
        <f t="shared" si="20"/>
        <v>#DIV/0!</v>
      </c>
      <c r="AQ20" s="79" t="e">
        <f t="shared" si="20"/>
        <v>#DIV/0!</v>
      </c>
      <c r="AR20" s="79" t="e">
        <f t="shared" si="20"/>
        <v>#DIV/0!</v>
      </c>
      <c r="AS20" s="79" t="e">
        <f>+AS5/AS4</f>
        <v>#DIV/0!</v>
      </c>
      <c r="AT20" s="79" t="e">
        <f>+AT5/AT4</f>
        <v>#DIV/0!</v>
      </c>
      <c r="AU20" s="79" t="e">
        <f t="shared" si="20"/>
        <v>#DIV/0!</v>
      </c>
      <c r="AV20" s="79" t="e">
        <f t="shared" si="20"/>
        <v>#DIV/0!</v>
      </c>
      <c r="AW20" s="102" t="e">
        <f t="shared" si="20"/>
        <v>#DIV/0!</v>
      </c>
      <c r="AY20" s="97">
        <v>500</v>
      </c>
      <c r="AZ20" s="98">
        <v>0.02</v>
      </c>
      <c r="BA20" s="63">
        <f t="shared" si="17"/>
        <v>10</v>
      </c>
      <c r="BB20" s="63">
        <v>1</v>
      </c>
      <c r="BC20" s="99">
        <f t="shared" si="19"/>
        <v>9</v>
      </c>
      <c r="BF20" s="112"/>
      <c r="BG20" s="112"/>
      <c r="BH20" s="113"/>
      <c r="BI20" s="116"/>
    </row>
    <row r="21" spans="1:61" ht="23.25">
      <c r="A21" s="55" t="s">
        <v>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63">
        <f t="shared" si="16"/>
        <v>0</v>
      </c>
      <c r="AH21" s="71"/>
      <c r="AI21" s="63">
        <f t="shared" si="18"/>
        <v>0</v>
      </c>
      <c r="AK21" s="77" t="s">
        <v>41</v>
      </c>
      <c r="AL21" s="79" t="e">
        <f>+AL6/AL5</f>
        <v>#DIV/0!</v>
      </c>
      <c r="AM21" s="79" t="e">
        <f t="shared" si="20"/>
        <v>#DIV/0!</v>
      </c>
      <c r="AN21" s="79" t="e">
        <f t="shared" si="20"/>
        <v>#DIV/0!</v>
      </c>
      <c r="AO21" s="79" t="e">
        <f t="shared" si="20"/>
        <v>#DIV/0!</v>
      </c>
      <c r="AP21" s="79" t="e">
        <f t="shared" si="20"/>
        <v>#DIV/0!</v>
      </c>
      <c r="AQ21" s="79" t="e">
        <f t="shared" si="20"/>
        <v>#DIV/0!</v>
      </c>
      <c r="AR21" s="79" t="e">
        <f t="shared" si="20"/>
        <v>#DIV/0!</v>
      </c>
      <c r="AS21" s="79" t="e">
        <f t="shared" si="20"/>
        <v>#DIV/0!</v>
      </c>
      <c r="AT21" s="79" t="e">
        <f t="shared" si="20"/>
        <v>#DIV/0!</v>
      </c>
      <c r="AU21" s="79" t="e">
        <f t="shared" si="20"/>
        <v>#DIV/0!</v>
      </c>
      <c r="AV21" s="79" t="e">
        <f t="shared" si="20"/>
        <v>#DIV/0!</v>
      </c>
      <c r="AW21" s="102" t="e">
        <f t="shared" si="20"/>
        <v>#DIV/0!</v>
      </c>
      <c r="AY21" s="97">
        <v>600</v>
      </c>
      <c r="AZ21" s="98">
        <v>0.02</v>
      </c>
      <c r="BA21" s="63">
        <f t="shared" si="17"/>
        <v>12</v>
      </c>
      <c r="BB21" s="63">
        <v>1</v>
      </c>
      <c r="BC21" s="99">
        <f t="shared" si="19"/>
        <v>11</v>
      </c>
      <c r="BF21" s="112"/>
      <c r="BG21" s="112"/>
      <c r="BH21" s="113"/>
      <c r="BI21" s="116"/>
    </row>
    <row r="22" spans="1:61" ht="23.25">
      <c r="A22" s="56" t="s">
        <v>31</v>
      </c>
      <c r="B22" s="56"/>
      <c r="C22" s="56"/>
      <c r="D22" s="56"/>
      <c r="E22" s="56"/>
      <c r="F22" s="56"/>
      <c r="G22" s="56"/>
      <c r="H22" s="56" t="s">
        <v>27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63">
        <f t="shared" si="16"/>
        <v>0</v>
      </c>
      <c r="AH22" s="63"/>
      <c r="AI22" s="63">
        <f t="shared" si="18"/>
        <v>0</v>
      </c>
      <c r="AK22" s="77" t="s">
        <v>23</v>
      </c>
      <c r="AL22" s="79" t="e">
        <f>AL7/AL5</f>
        <v>#DIV/0!</v>
      </c>
      <c r="AM22" s="79" t="e">
        <f t="shared" ref="AM22:AW22" si="21">AM7/AM5</f>
        <v>#DIV/0!</v>
      </c>
      <c r="AN22" s="79" t="e">
        <f t="shared" si="21"/>
        <v>#DIV/0!</v>
      </c>
      <c r="AO22" s="79" t="e">
        <f t="shared" si="21"/>
        <v>#DIV/0!</v>
      </c>
      <c r="AP22" s="79" t="e">
        <f t="shared" si="21"/>
        <v>#DIV/0!</v>
      </c>
      <c r="AQ22" s="79" t="e">
        <f t="shared" si="21"/>
        <v>#DIV/0!</v>
      </c>
      <c r="AR22" s="79" t="e">
        <f t="shared" si="21"/>
        <v>#DIV/0!</v>
      </c>
      <c r="AS22" s="79" t="e">
        <f t="shared" si="21"/>
        <v>#DIV/0!</v>
      </c>
      <c r="AT22" s="79" t="e">
        <f t="shared" si="21"/>
        <v>#DIV/0!</v>
      </c>
      <c r="AU22" s="79" t="e">
        <f t="shared" si="21"/>
        <v>#DIV/0!</v>
      </c>
      <c r="AV22" s="79" t="e">
        <f t="shared" si="21"/>
        <v>#DIV/0!</v>
      </c>
      <c r="AW22" s="102" t="e">
        <f t="shared" si="21"/>
        <v>#DIV/0!</v>
      </c>
      <c r="AY22" s="97">
        <v>700</v>
      </c>
      <c r="AZ22" s="98">
        <v>0.02</v>
      </c>
      <c r="BA22" s="63">
        <f t="shared" si="17"/>
        <v>14</v>
      </c>
      <c r="BB22" s="63">
        <v>1</v>
      </c>
      <c r="BC22" s="99">
        <f t="shared" si="19"/>
        <v>13</v>
      </c>
      <c r="BF22" s="112"/>
      <c r="BG22" s="112"/>
      <c r="BH22" s="113"/>
      <c r="BI22" s="116"/>
    </row>
    <row r="23" spans="1:61" s="2" customFormat="1" ht="23.25">
      <c r="A23" s="250" t="s">
        <v>131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59"/>
      <c r="AI23" s="60"/>
      <c r="AK23" s="77" t="s">
        <v>24</v>
      </c>
      <c r="AL23" s="79" t="e">
        <f>AL8/AL5</f>
        <v>#DIV/0!</v>
      </c>
      <c r="AM23" s="79" t="e">
        <f t="shared" ref="AM23:AW23" si="22">AM8/AM5</f>
        <v>#DIV/0!</v>
      </c>
      <c r="AN23" s="79" t="e">
        <f t="shared" si="22"/>
        <v>#DIV/0!</v>
      </c>
      <c r="AO23" s="79" t="e">
        <f t="shared" si="22"/>
        <v>#DIV/0!</v>
      </c>
      <c r="AP23" s="79" t="e">
        <f t="shared" si="22"/>
        <v>#DIV/0!</v>
      </c>
      <c r="AQ23" s="79" t="e">
        <f t="shared" si="22"/>
        <v>#DIV/0!</v>
      </c>
      <c r="AR23" s="79" t="e">
        <f t="shared" si="22"/>
        <v>#DIV/0!</v>
      </c>
      <c r="AS23" s="79" t="e">
        <f t="shared" si="22"/>
        <v>#DIV/0!</v>
      </c>
      <c r="AT23" s="79" t="e">
        <f t="shared" si="22"/>
        <v>#DIV/0!</v>
      </c>
      <c r="AU23" s="79" t="e">
        <f t="shared" si="22"/>
        <v>#DIV/0!</v>
      </c>
      <c r="AV23" s="79" t="e">
        <f t="shared" si="22"/>
        <v>#DIV/0!</v>
      </c>
      <c r="AW23" s="102" t="e">
        <f t="shared" si="22"/>
        <v>#DIV/0!</v>
      </c>
      <c r="AY23" s="97">
        <v>800</v>
      </c>
      <c r="AZ23" s="98">
        <v>0.02</v>
      </c>
      <c r="BA23" s="63">
        <f t="shared" si="17"/>
        <v>16</v>
      </c>
      <c r="BB23" s="63">
        <v>1</v>
      </c>
      <c r="BC23" s="99">
        <f t="shared" si="19"/>
        <v>15</v>
      </c>
      <c r="BF23" s="112"/>
      <c r="BG23" s="112"/>
      <c r="BH23" s="113"/>
      <c r="BI23" s="112"/>
    </row>
    <row r="24" spans="1:61" ht="23.25">
      <c r="A24" s="53"/>
      <c r="B24" s="54">
        <v>46113</v>
      </c>
      <c r="C24" s="54">
        <v>46114</v>
      </c>
      <c r="D24" s="54">
        <v>46115</v>
      </c>
      <c r="E24" s="54">
        <v>46116</v>
      </c>
      <c r="F24" s="54">
        <v>46117</v>
      </c>
      <c r="G24" s="54">
        <v>46118</v>
      </c>
      <c r="H24" s="54">
        <v>46119</v>
      </c>
      <c r="I24" s="54">
        <v>46120</v>
      </c>
      <c r="J24" s="54">
        <v>46121</v>
      </c>
      <c r="K24" s="54">
        <v>46122</v>
      </c>
      <c r="L24" s="54">
        <v>46123</v>
      </c>
      <c r="M24" s="54">
        <v>46124</v>
      </c>
      <c r="N24" s="54">
        <v>46125</v>
      </c>
      <c r="O24" s="54">
        <v>46126</v>
      </c>
      <c r="P24" s="54">
        <v>46127</v>
      </c>
      <c r="Q24" s="54">
        <v>46128</v>
      </c>
      <c r="R24" s="54">
        <v>46129</v>
      </c>
      <c r="S24" s="54">
        <v>46130</v>
      </c>
      <c r="T24" s="54">
        <v>46131</v>
      </c>
      <c r="U24" s="54">
        <v>46132</v>
      </c>
      <c r="V24" s="54">
        <v>46133</v>
      </c>
      <c r="W24" s="54">
        <v>46134</v>
      </c>
      <c r="X24" s="54">
        <v>46135</v>
      </c>
      <c r="Y24" s="54">
        <v>46136</v>
      </c>
      <c r="Z24" s="54">
        <v>46137</v>
      </c>
      <c r="AA24" s="54">
        <v>46138</v>
      </c>
      <c r="AB24" s="54">
        <v>46139</v>
      </c>
      <c r="AC24" s="54">
        <v>46140</v>
      </c>
      <c r="AD24" s="54">
        <v>46141</v>
      </c>
      <c r="AE24" s="54">
        <v>46142</v>
      </c>
      <c r="AF24" s="54"/>
      <c r="AG24" s="61" t="s">
        <v>2</v>
      </c>
      <c r="AH24" s="61" t="s">
        <v>3</v>
      </c>
      <c r="AI24" s="62" t="s">
        <v>43</v>
      </c>
      <c r="AK24" s="77" t="s">
        <v>26</v>
      </c>
      <c r="AL24" s="79" t="e">
        <f>AL9/AL5</f>
        <v>#DIV/0!</v>
      </c>
      <c r="AM24" s="79" t="e">
        <f t="shared" ref="AM24:AW25" si="23">AM9/AM5</f>
        <v>#DIV/0!</v>
      </c>
      <c r="AN24" s="79" t="e">
        <f t="shared" si="23"/>
        <v>#DIV/0!</v>
      </c>
      <c r="AO24" s="79" t="e">
        <f t="shared" si="23"/>
        <v>#DIV/0!</v>
      </c>
      <c r="AP24" s="79" t="e">
        <f t="shared" si="23"/>
        <v>#DIV/0!</v>
      </c>
      <c r="AQ24" s="79" t="e">
        <f t="shared" si="23"/>
        <v>#DIV/0!</v>
      </c>
      <c r="AR24" s="79" t="e">
        <f t="shared" si="23"/>
        <v>#DIV/0!</v>
      </c>
      <c r="AS24" s="79" t="e">
        <f t="shared" si="23"/>
        <v>#DIV/0!</v>
      </c>
      <c r="AT24" s="79" t="e">
        <f t="shared" si="23"/>
        <v>#DIV/0!</v>
      </c>
      <c r="AU24" s="79" t="e">
        <f t="shared" si="23"/>
        <v>#DIV/0!</v>
      </c>
      <c r="AV24" s="79" t="e">
        <f t="shared" si="23"/>
        <v>#DIV/0!</v>
      </c>
      <c r="AW24" s="102" t="e">
        <f t="shared" si="23"/>
        <v>#DIV/0!</v>
      </c>
      <c r="AY24" s="97">
        <v>900</v>
      </c>
      <c r="AZ24" s="98">
        <v>0.02</v>
      </c>
      <c r="BA24" s="63">
        <f t="shared" si="17"/>
        <v>18</v>
      </c>
      <c r="BB24" s="63">
        <v>1</v>
      </c>
      <c r="BC24" s="99">
        <f t="shared" si="19"/>
        <v>17</v>
      </c>
      <c r="BF24" s="117"/>
      <c r="BG24" s="117"/>
      <c r="BH24" s="118"/>
      <c r="BI24" s="112"/>
    </row>
    <row r="25" spans="1:61" ht="24" thickBot="1">
      <c r="A25" s="55" t="s">
        <v>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63">
        <f>SUM(B25:AF25)</f>
        <v>0</v>
      </c>
      <c r="AH25" s="63"/>
      <c r="AI25" s="63">
        <f>AG25</f>
        <v>0</v>
      </c>
      <c r="AK25" s="77" t="s">
        <v>28</v>
      </c>
      <c r="AL25" s="79" t="e">
        <f t="shared" ref="AL25:AW28" si="24">AL10/AL6</f>
        <v>#DIV/0!</v>
      </c>
      <c r="AM25" s="79" t="e">
        <f t="shared" si="24"/>
        <v>#DIV/0!</v>
      </c>
      <c r="AN25" s="79" t="e">
        <f t="shared" si="24"/>
        <v>#DIV/0!</v>
      </c>
      <c r="AO25" s="79" t="e">
        <f t="shared" si="24"/>
        <v>#DIV/0!</v>
      </c>
      <c r="AP25" s="79" t="e">
        <f t="shared" si="24"/>
        <v>#DIV/0!</v>
      </c>
      <c r="AQ25" s="79" t="e">
        <f t="shared" si="24"/>
        <v>#DIV/0!</v>
      </c>
      <c r="AR25" s="79" t="e">
        <f t="shared" si="24"/>
        <v>#DIV/0!</v>
      </c>
      <c r="AS25" s="79" t="e">
        <f t="shared" si="24"/>
        <v>#DIV/0!</v>
      </c>
      <c r="AT25" s="79" t="e">
        <f t="shared" si="23"/>
        <v>#DIV/0!</v>
      </c>
      <c r="AU25" s="79" t="e">
        <f t="shared" si="24"/>
        <v>#DIV/0!</v>
      </c>
      <c r="AV25" s="79" t="e">
        <f t="shared" si="24"/>
        <v>#DIV/0!</v>
      </c>
      <c r="AW25" s="102" t="e">
        <f t="shared" si="24"/>
        <v>#DIV/0!</v>
      </c>
      <c r="AY25" s="103">
        <v>1000</v>
      </c>
      <c r="AZ25" s="104">
        <v>0.02</v>
      </c>
      <c r="BA25" s="105">
        <f t="shared" si="17"/>
        <v>20</v>
      </c>
      <c r="BB25" s="105">
        <v>1</v>
      </c>
      <c r="BC25" s="106">
        <f t="shared" si="19"/>
        <v>19</v>
      </c>
      <c r="BF25" s="117"/>
      <c r="BG25" s="117"/>
      <c r="BH25" s="118"/>
      <c r="BI25" s="114"/>
    </row>
    <row r="26" spans="1:61" ht="24" thickBot="1">
      <c r="A26" s="55" t="s">
        <v>21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63">
        <f t="shared" ref="AG26:AG33" si="25">SUM(B26:AF26)</f>
        <v>0</v>
      </c>
      <c r="AH26" s="63"/>
      <c r="AI26" s="63">
        <f>AG26+AH28+AH29+AH30</f>
        <v>0</v>
      </c>
      <c r="AK26" s="77" t="s">
        <v>29</v>
      </c>
      <c r="AL26" s="79" t="e">
        <f t="shared" si="24"/>
        <v>#DIV/0!</v>
      </c>
      <c r="AM26" s="79" t="e">
        <f t="shared" si="24"/>
        <v>#DIV/0!</v>
      </c>
      <c r="AN26" s="79" t="e">
        <f t="shared" si="24"/>
        <v>#DIV/0!</v>
      </c>
      <c r="AO26" s="79" t="e">
        <f t="shared" si="24"/>
        <v>#DIV/0!</v>
      </c>
      <c r="AP26" s="79" t="e">
        <f t="shared" si="24"/>
        <v>#DIV/0!</v>
      </c>
      <c r="AQ26" s="79" t="e">
        <f t="shared" si="24"/>
        <v>#DIV/0!</v>
      </c>
      <c r="AR26" s="79" t="e">
        <f t="shared" si="24"/>
        <v>#DIV/0!</v>
      </c>
      <c r="AS26" s="79" t="e">
        <f t="shared" si="24"/>
        <v>#DIV/0!</v>
      </c>
      <c r="AT26" s="79" t="e">
        <f t="shared" si="24"/>
        <v>#DIV/0!</v>
      </c>
      <c r="AU26" s="79" t="e">
        <f t="shared" si="24"/>
        <v>#DIV/0!</v>
      </c>
      <c r="AV26" s="79" t="e">
        <f t="shared" si="24"/>
        <v>#DIV/0!</v>
      </c>
      <c r="AW26" s="102" t="e">
        <f t="shared" si="24"/>
        <v>#DIV/0!</v>
      </c>
      <c r="AY26" s="63"/>
      <c r="AZ26" s="63"/>
      <c r="BA26" s="63"/>
      <c r="BB26" s="63"/>
      <c r="BC26" s="63"/>
      <c r="BF26" s="117"/>
      <c r="BG26" s="117"/>
      <c r="BH26" s="118"/>
      <c r="BI26" s="119"/>
    </row>
    <row r="27" spans="1:61" ht="24" thickBot="1">
      <c r="A27" s="55" t="s">
        <v>22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56"/>
      <c r="AG27" s="63">
        <f t="shared" si="25"/>
        <v>0</v>
      </c>
      <c r="AH27" s="63"/>
      <c r="AI27" s="63">
        <f>AG27+AH28+AH29+AH30</f>
        <v>0</v>
      </c>
      <c r="AK27" s="77" t="s">
        <v>31</v>
      </c>
      <c r="AL27" s="79" t="e">
        <f t="shared" si="24"/>
        <v>#DIV/0!</v>
      </c>
      <c r="AM27" s="79" t="e">
        <f t="shared" si="24"/>
        <v>#DIV/0!</v>
      </c>
      <c r="AN27" s="79" t="e">
        <f t="shared" si="24"/>
        <v>#DIV/0!</v>
      </c>
      <c r="AO27" s="79" t="e">
        <f t="shared" si="24"/>
        <v>#DIV/0!</v>
      </c>
      <c r="AP27" s="79" t="e">
        <f t="shared" si="24"/>
        <v>#DIV/0!</v>
      </c>
      <c r="AQ27" s="79" t="e">
        <f t="shared" si="24"/>
        <v>#DIV/0!</v>
      </c>
      <c r="AR27" s="79" t="e">
        <f t="shared" si="24"/>
        <v>#DIV/0!</v>
      </c>
      <c r="AS27" s="79" t="e">
        <f t="shared" si="24"/>
        <v>#DIV/0!</v>
      </c>
      <c r="AT27" s="79" t="e">
        <f t="shared" si="24"/>
        <v>#DIV/0!</v>
      </c>
      <c r="AU27" s="79" t="e">
        <f t="shared" si="24"/>
        <v>#DIV/0!</v>
      </c>
      <c r="AV27" s="79" t="e">
        <f>AV12/AV8</f>
        <v>#DIV/0!</v>
      </c>
      <c r="AW27" s="102" t="e">
        <f>AW12/AW8</f>
        <v>#DIV/0!</v>
      </c>
      <c r="AY27" s="108" t="s">
        <v>44</v>
      </c>
      <c r="AZ27" s="271" t="s">
        <v>45</v>
      </c>
      <c r="BA27" s="272"/>
      <c r="BB27" s="63"/>
      <c r="BC27" s="63"/>
      <c r="BF27" s="117"/>
      <c r="BG27" s="117"/>
      <c r="BH27" s="118"/>
      <c r="BI27" s="114"/>
    </row>
    <row r="28" spans="1:61" ht="23.25">
      <c r="A28" s="55" t="s">
        <v>23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56"/>
      <c r="AG28" s="63">
        <f t="shared" si="25"/>
        <v>0</v>
      </c>
      <c r="AH28" s="63"/>
      <c r="AI28" s="63">
        <f t="shared" ref="AI28:AI33" si="26">AG28-AH28</f>
        <v>0</v>
      </c>
      <c r="AK28" s="80" t="s">
        <v>34</v>
      </c>
      <c r="AL28" s="81" t="e">
        <f>AL13/AL9</f>
        <v>#DIV/0!</v>
      </c>
      <c r="AM28" s="81" t="e">
        <f t="shared" si="24"/>
        <v>#DIV/0!</v>
      </c>
      <c r="AN28" s="81" t="e">
        <f t="shared" si="24"/>
        <v>#DIV/0!</v>
      </c>
      <c r="AO28" s="81" t="e">
        <f t="shared" si="24"/>
        <v>#DIV/0!</v>
      </c>
      <c r="AP28" s="81" t="e">
        <f t="shared" si="24"/>
        <v>#DIV/0!</v>
      </c>
      <c r="AQ28" s="81" t="e">
        <f t="shared" si="24"/>
        <v>#DIV/0!</v>
      </c>
      <c r="AR28" s="81" t="e">
        <f t="shared" si="24"/>
        <v>#DIV/0!</v>
      </c>
      <c r="AS28" s="81" t="e">
        <f t="shared" si="24"/>
        <v>#DIV/0!</v>
      </c>
      <c r="AT28" s="81" t="e">
        <f t="shared" si="24"/>
        <v>#DIV/0!</v>
      </c>
      <c r="AU28" s="81" t="e">
        <f t="shared" si="24"/>
        <v>#DIV/0!</v>
      </c>
      <c r="AV28" s="81" t="e">
        <f t="shared" si="24"/>
        <v>#DIV/0!</v>
      </c>
      <c r="AW28" s="107" t="e">
        <f t="shared" si="24"/>
        <v>#DIV/0!</v>
      </c>
      <c r="AY28" s="97" t="s">
        <v>46</v>
      </c>
      <c r="AZ28" s="273">
        <v>100</v>
      </c>
      <c r="BA28" s="274"/>
      <c r="BB28" s="109"/>
      <c r="BC28" s="109"/>
      <c r="BF28" s="112"/>
      <c r="BG28" s="112"/>
      <c r="BH28" s="113"/>
      <c r="BI28" s="112"/>
    </row>
    <row r="29" spans="1:61" ht="21.75" thickBot="1">
      <c r="A29" s="55" t="s">
        <v>24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56"/>
      <c r="AG29" s="63">
        <f t="shared" si="25"/>
        <v>0</v>
      </c>
      <c r="AH29" s="63"/>
      <c r="AI29" s="63">
        <f t="shared" si="26"/>
        <v>0</v>
      </c>
      <c r="AR29" s="82"/>
      <c r="AS29" s="83"/>
      <c r="AT29" s="83"/>
      <c r="AU29" s="82"/>
      <c r="AV29" s="82"/>
      <c r="AY29" s="103" t="s">
        <v>47</v>
      </c>
      <c r="AZ29" s="275">
        <v>50</v>
      </c>
      <c r="BA29" s="276"/>
      <c r="BB29" s="63"/>
      <c r="BC29" s="63"/>
      <c r="BF29" s="112"/>
      <c r="BG29" s="112"/>
      <c r="BH29" s="113"/>
      <c r="BI29" s="114"/>
    </row>
    <row r="30" spans="1:61" ht="21">
      <c r="A30" s="55" t="s">
        <v>26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56"/>
      <c r="AG30" s="63">
        <f t="shared" si="25"/>
        <v>0</v>
      </c>
      <c r="AH30" s="63"/>
      <c r="AI30" s="63">
        <f t="shared" si="26"/>
        <v>0</v>
      </c>
      <c r="AN30" s="82"/>
      <c r="BF30" s="112"/>
      <c r="BG30" s="112"/>
      <c r="BH30" s="113"/>
      <c r="BI30" s="114"/>
    </row>
    <row r="31" spans="1:61" ht="21">
      <c r="A31" s="55" t="s">
        <v>28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63">
        <f t="shared" si="25"/>
        <v>0</v>
      </c>
      <c r="AH31" s="70"/>
      <c r="AI31" s="63">
        <f t="shared" si="26"/>
        <v>0</v>
      </c>
      <c r="AO31" s="82"/>
      <c r="BF31" s="112"/>
      <c r="BG31" s="112"/>
      <c r="BH31" s="113"/>
      <c r="BI31" s="114"/>
    </row>
    <row r="32" spans="1:61" ht="21">
      <c r="A32" s="55" t="s">
        <v>29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3">
        <f t="shared" si="25"/>
        <v>0</v>
      </c>
      <c r="AH32" s="71"/>
      <c r="AI32" s="63">
        <f t="shared" si="26"/>
        <v>0</v>
      </c>
      <c r="AN32" s="82"/>
      <c r="BF32" s="112"/>
      <c r="BG32" s="112"/>
      <c r="BH32" s="113"/>
      <c r="BI32" s="112"/>
    </row>
    <row r="33" spans="1:61" ht="21">
      <c r="A33" s="56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63">
        <f t="shared" si="25"/>
        <v>0</v>
      </c>
      <c r="AH33" s="63"/>
      <c r="AI33" s="63">
        <f t="shared" si="26"/>
        <v>0</v>
      </c>
      <c r="AM33" s="82"/>
      <c r="BF33" s="112"/>
      <c r="BG33" s="112"/>
      <c r="BH33" s="113"/>
      <c r="BI33" s="114"/>
    </row>
    <row r="34" spans="1:61" ht="23.25">
      <c r="A34" s="250" t="s">
        <v>132</v>
      </c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59"/>
      <c r="AI34" s="60"/>
      <c r="AM34" s="82"/>
      <c r="BF34" s="112"/>
      <c r="BG34" s="112"/>
      <c r="BH34" s="113"/>
      <c r="BI34" s="114"/>
    </row>
    <row r="35" spans="1:61" ht="21">
      <c r="A35" s="53"/>
      <c r="B35" s="54">
        <v>46113</v>
      </c>
      <c r="C35" s="54">
        <v>46114</v>
      </c>
      <c r="D35" s="54">
        <v>46115</v>
      </c>
      <c r="E35" s="54">
        <v>46116</v>
      </c>
      <c r="F35" s="54">
        <v>46117</v>
      </c>
      <c r="G35" s="54">
        <v>46118</v>
      </c>
      <c r="H35" s="54">
        <v>46119</v>
      </c>
      <c r="I35" s="54">
        <v>46120</v>
      </c>
      <c r="J35" s="54">
        <v>46121</v>
      </c>
      <c r="K35" s="54">
        <v>46122</v>
      </c>
      <c r="L35" s="54">
        <v>46123</v>
      </c>
      <c r="M35" s="54">
        <v>46124</v>
      </c>
      <c r="N35" s="54">
        <v>46125</v>
      </c>
      <c r="O35" s="54">
        <v>46126</v>
      </c>
      <c r="P35" s="54">
        <v>46127</v>
      </c>
      <c r="Q35" s="54">
        <v>46128</v>
      </c>
      <c r="R35" s="54">
        <v>46129</v>
      </c>
      <c r="S35" s="54">
        <v>46130</v>
      </c>
      <c r="T35" s="54">
        <v>46131</v>
      </c>
      <c r="U35" s="54">
        <v>46132</v>
      </c>
      <c r="V35" s="54">
        <v>46133</v>
      </c>
      <c r="W35" s="54">
        <v>46134</v>
      </c>
      <c r="X35" s="54">
        <v>46135</v>
      </c>
      <c r="Y35" s="54">
        <v>46136</v>
      </c>
      <c r="Z35" s="54">
        <v>46137</v>
      </c>
      <c r="AA35" s="54">
        <v>46138</v>
      </c>
      <c r="AB35" s="54">
        <v>46139</v>
      </c>
      <c r="AC35" s="54">
        <v>46140</v>
      </c>
      <c r="AD35" s="54">
        <v>46141</v>
      </c>
      <c r="AE35" s="54">
        <v>46142</v>
      </c>
      <c r="AF35" s="54"/>
      <c r="AG35" s="61" t="s">
        <v>2</v>
      </c>
      <c r="AH35" s="61" t="s">
        <v>49</v>
      </c>
      <c r="AI35" s="62" t="s">
        <v>50</v>
      </c>
      <c r="AM35" s="82"/>
      <c r="BF35" s="112"/>
      <c r="BG35" s="112"/>
      <c r="BH35" s="113"/>
      <c r="BI35" s="116"/>
    </row>
    <row r="36" spans="1:61" ht="21">
      <c r="A36" s="55" t="s">
        <v>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63">
        <f>SUM(B36:AF36)</f>
        <v>0</v>
      </c>
      <c r="AH36" s="63"/>
      <c r="AI36" s="63">
        <f>AG36</f>
        <v>0</v>
      </c>
      <c r="AN36" s="82"/>
      <c r="BF36" s="112"/>
      <c r="BG36" s="112"/>
      <c r="BH36" s="113"/>
      <c r="BI36" s="116"/>
    </row>
    <row r="37" spans="1:61" ht="21">
      <c r="A37" s="55" t="s">
        <v>21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63">
        <f t="shared" ref="AG37:AG44" si="27">SUM(B37:AF37)</f>
        <v>0</v>
      </c>
      <c r="AH37" s="63"/>
      <c r="AI37" s="63">
        <f>AG37+AH39+AH40+AH41</f>
        <v>0</v>
      </c>
      <c r="AM37" s="82"/>
      <c r="AO37" s="82"/>
      <c r="BF37" s="112"/>
      <c r="BG37" s="112"/>
      <c r="BH37" s="113"/>
      <c r="BI37" s="116"/>
    </row>
    <row r="38" spans="1:61" ht="21">
      <c r="A38" s="55" t="s">
        <v>22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56"/>
      <c r="AG38" s="63">
        <f t="shared" si="27"/>
        <v>0</v>
      </c>
      <c r="AH38" s="63"/>
      <c r="AI38" s="63">
        <f>AG38+AH39+AH40+AH41</f>
        <v>0</v>
      </c>
      <c r="AM38" s="82"/>
      <c r="BF38" s="112"/>
      <c r="BG38" s="112"/>
      <c r="BH38" s="116"/>
      <c r="BI38" s="114"/>
    </row>
    <row r="39" spans="1:61" ht="21">
      <c r="A39" s="55" t="s">
        <v>23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56"/>
      <c r="AG39" s="63">
        <f t="shared" si="27"/>
        <v>0</v>
      </c>
      <c r="AH39" s="63"/>
      <c r="AI39" s="63">
        <f t="shared" ref="AI39:AI44" si="28">AG39-AH39</f>
        <v>0</v>
      </c>
      <c r="AM39" s="82"/>
    </row>
    <row r="40" spans="1:61" ht="21">
      <c r="A40" s="55" t="s">
        <v>24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56"/>
      <c r="AG40" s="63">
        <f t="shared" si="27"/>
        <v>0</v>
      </c>
      <c r="AH40" s="63"/>
      <c r="AI40" s="63">
        <f t="shared" si="28"/>
        <v>0</v>
      </c>
      <c r="AN40" s="82"/>
    </row>
    <row r="41" spans="1:61" ht="21">
      <c r="A41" s="55" t="s">
        <v>26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56"/>
      <c r="AG41" s="63">
        <f t="shared" si="27"/>
        <v>0</v>
      </c>
      <c r="AH41" s="63"/>
      <c r="AI41" s="63">
        <f t="shared" si="28"/>
        <v>0</v>
      </c>
    </row>
    <row r="42" spans="1:61" ht="21">
      <c r="A42" s="55" t="s">
        <v>28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63">
        <f t="shared" si="27"/>
        <v>0</v>
      </c>
      <c r="AH42" s="70"/>
      <c r="AI42" s="63">
        <f t="shared" si="28"/>
        <v>0</v>
      </c>
    </row>
    <row r="43" spans="1:61" ht="21">
      <c r="A43" s="55" t="s">
        <v>29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63">
        <f t="shared" si="27"/>
        <v>0</v>
      </c>
      <c r="AH43" s="71"/>
      <c r="AI43" s="63">
        <f t="shared" si="28"/>
        <v>0</v>
      </c>
    </row>
    <row r="44" spans="1:61" ht="21">
      <c r="A44" s="56" t="s">
        <v>31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63">
        <f t="shared" si="27"/>
        <v>0</v>
      </c>
      <c r="AH44" s="63"/>
      <c r="AI44" s="63">
        <f t="shared" si="28"/>
        <v>0</v>
      </c>
    </row>
    <row r="45" spans="1:61" ht="23.25">
      <c r="A45" s="250" t="s">
        <v>133</v>
      </c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59"/>
      <c r="AI45" s="60"/>
    </row>
    <row r="46" spans="1:61" ht="21">
      <c r="A46" s="53"/>
      <c r="B46" s="54">
        <v>46113</v>
      </c>
      <c r="C46" s="54">
        <v>46114</v>
      </c>
      <c r="D46" s="54">
        <v>46115</v>
      </c>
      <c r="E46" s="54">
        <v>46116</v>
      </c>
      <c r="F46" s="54">
        <v>46117</v>
      </c>
      <c r="G46" s="54">
        <v>46118</v>
      </c>
      <c r="H46" s="54">
        <v>46119</v>
      </c>
      <c r="I46" s="54">
        <v>46120</v>
      </c>
      <c r="J46" s="54">
        <v>46121</v>
      </c>
      <c r="K46" s="54">
        <v>46122</v>
      </c>
      <c r="L46" s="54">
        <v>46123</v>
      </c>
      <c r="M46" s="54">
        <v>46124</v>
      </c>
      <c r="N46" s="54">
        <v>46125</v>
      </c>
      <c r="O46" s="54">
        <v>46126</v>
      </c>
      <c r="P46" s="54">
        <v>46127</v>
      </c>
      <c r="Q46" s="54">
        <v>46128</v>
      </c>
      <c r="R46" s="54">
        <v>46129</v>
      </c>
      <c r="S46" s="54">
        <v>46130</v>
      </c>
      <c r="T46" s="54">
        <v>46131</v>
      </c>
      <c r="U46" s="54">
        <v>46132</v>
      </c>
      <c r="V46" s="54">
        <v>46133</v>
      </c>
      <c r="W46" s="54">
        <v>46134</v>
      </c>
      <c r="X46" s="54">
        <v>46135</v>
      </c>
      <c r="Y46" s="54">
        <v>46136</v>
      </c>
      <c r="Z46" s="54">
        <v>46137</v>
      </c>
      <c r="AA46" s="54">
        <v>46138</v>
      </c>
      <c r="AB46" s="54">
        <v>46139</v>
      </c>
      <c r="AC46" s="54">
        <v>46140</v>
      </c>
      <c r="AD46" s="54">
        <v>46141</v>
      </c>
      <c r="AE46" s="54">
        <v>46142</v>
      </c>
      <c r="AF46" s="54"/>
      <c r="AG46" s="61" t="s">
        <v>2</v>
      </c>
      <c r="AH46" s="61" t="s">
        <v>3</v>
      </c>
      <c r="AI46" s="62" t="s">
        <v>52</v>
      </c>
    </row>
    <row r="47" spans="1:61" ht="21">
      <c r="A47" s="55" t="s">
        <v>5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63">
        <f>SUM(B47:AF47)</f>
        <v>0</v>
      </c>
      <c r="AH47" s="63"/>
      <c r="AI47" s="63">
        <f>AG47</f>
        <v>0</v>
      </c>
    </row>
    <row r="48" spans="1:61" ht="21">
      <c r="A48" s="55" t="s">
        <v>21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63">
        <f t="shared" ref="AG48:AG55" si="29">SUM(B48:AF48)</f>
        <v>0</v>
      </c>
      <c r="AH48" s="63"/>
      <c r="AI48" s="63">
        <f>AG48+AH50+AH51+AH52</f>
        <v>0</v>
      </c>
    </row>
    <row r="49" spans="1:35" ht="21">
      <c r="A49" s="55" t="s">
        <v>22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56"/>
      <c r="AG49" s="63">
        <f t="shared" si="29"/>
        <v>0</v>
      </c>
      <c r="AH49" s="63"/>
      <c r="AI49" s="63">
        <f>AG49+AH50+AH51+AH52</f>
        <v>0</v>
      </c>
    </row>
    <row r="50" spans="1:35" ht="21">
      <c r="A50" s="55" t="s">
        <v>23</v>
      </c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56"/>
      <c r="AG50" s="63">
        <f t="shared" si="29"/>
        <v>0</v>
      </c>
      <c r="AH50" s="63"/>
      <c r="AI50" s="63">
        <f t="shared" ref="AI50:AI55" si="30">AG50-AH50</f>
        <v>0</v>
      </c>
    </row>
    <row r="51" spans="1:35" ht="21">
      <c r="A51" s="55" t="s">
        <v>24</v>
      </c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56"/>
      <c r="AG51" s="63">
        <f t="shared" si="29"/>
        <v>0</v>
      </c>
      <c r="AH51" s="63"/>
      <c r="AI51" s="63">
        <f t="shared" si="30"/>
        <v>0</v>
      </c>
    </row>
    <row r="52" spans="1:35" ht="21">
      <c r="A52" s="55" t="s">
        <v>26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56"/>
      <c r="AG52" s="63">
        <f t="shared" si="29"/>
        <v>0</v>
      </c>
      <c r="AH52" s="63"/>
      <c r="AI52" s="63">
        <f t="shared" si="30"/>
        <v>0</v>
      </c>
    </row>
    <row r="53" spans="1:35" ht="21">
      <c r="A53" s="55" t="s">
        <v>28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63">
        <f t="shared" si="29"/>
        <v>0</v>
      </c>
      <c r="AH53" s="70"/>
      <c r="AI53" s="63">
        <f t="shared" si="30"/>
        <v>0</v>
      </c>
    </row>
    <row r="54" spans="1:35" ht="21">
      <c r="A54" s="55" t="s">
        <v>29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63">
        <f t="shared" si="29"/>
        <v>0</v>
      </c>
      <c r="AH54" s="71"/>
      <c r="AI54" s="63">
        <f t="shared" si="30"/>
        <v>0</v>
      </c>
    </row>
    <row r="55" spans="1:35" ht="21">
      <c r="A55" s="56" t="s">
        <v>31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 t="s">
        <v>53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63">
        <f t="shared" si="29"/>
        <v>0</v>
      </c>
      <c r="AH55" s="63"/>
      <c r="AI55" s="63">
        <f t="shared" si="30"/>
        <v>0</v>
      </c>
    </row>
    <row r="56" spans="1:35" ht="23.25">
      <c r="A56" s="250" t="s">
        <v>134</v>
      </c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59"/>
      <c r="AI56" s="60"/>
    </row>
    <row r="57" spans="1:35" ht="21">
      <c r="A57" s="53"/>
      <c r="B57" s="54">
        <v>46113</v>
      </c>
      <c r="C57" s="54">
        <v>46114</v>
      </c>
      <c r="D57" s="54">
        <v>46115</v>
      </c>
      <c r="E57" s="54">
        <v>46116</v>
      </c>
      <c r="F57" s="54">
        <v>46117</v>
      </c>
      <c r="G57" s="54">
        <v>46118</v>
      </c>
      <c r="H57" s="54">
        <v>46119</v>
      </c>
      <c r="I57" s="54">
        <v>46120</v>
      </c>
      <c r="J57" s="54">
        <v>46121</v>
      </c>
      <c r="K57" s="54">
        <v>46122</v>
      </c>
      <c r="L57" s="54">
        <v>46123</v>
      </c>
      <c r="M57" s="54">
        <v>46124</v>
      </c>
      <c r="N57" s="54">
        <v>46125</v>
      </c>
      <c r="O57" s="54">
        <v>46126</v>
      </c>
      <c r="P57" s="54">
        <v>46127</v>
      </c>
      <c r="Q57" s="54">
        <v>46128</v>
      </c>
      <c r="R57" s="54">
        <v>46129</v>
      </c>
      <c r="S57" s="54">
        <v>46130</v>
      </c>
      <c r="T57" s="54">
        <v>46131</v>
      </c>
      <c r="U57" s="54">
        <v>46132</v>
      </c>
      <c r="V57" s="54">
        <v>46133</v>
      </c>
      <c r="W57" s="54">
        <v>46134</v>
      </c>
      <c r="X57" s="54">
        <v>46135</v>
      </c>
      <c r="Y57" s="54">
        <v>46136</v>
      </c>
      <c r="Z57" s="54">
        <v>46137</v>
      </c>
      <c r="AA57" s="54">
        <v>46138</v>
      </c>
      <c r="AB57" s="54">
        <v>46139</v>
      </c>
      <c r="AC57" s="54">
        <v>46140</v>
      </c>
      <c r="AD57" s="54">
        <v>46141</v>
      </c>
      <c r="AE57" s="54">
        <v>46142</v>
      </c>
      <c r="AF57" s="54"/>
      <c r="AG57" s="61" t="s">
        <v>2</v>
      </c>
      <c r="AH57" s="61" t="s">
        <v>3</v>
      </c>
      <c r="AI57" s="124" t="s">
        <v>13</v>
      </c>
    </row>
    <row r="58" spans="1:35" ht="21">
      <c r="A58" s="55" t="s">
        <v>56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63">
        <f>SUM(B58:AF58)</f>
        <v>0</v>
      </c>
      <c r="AH58" s="63"/>
      <c r="AI58" s="63">
        <f>AG58</f>
        <v>0</v>
      </c>
    </row>
    <row r="59" spans="1:35" ht="21">
      <c r="A59" s="55" t="s">
        <v>21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63">
        <f t="shared" ref="AG59:AG66" si="31">SUM(B59:AF59)</f>
        <v>0</v>
      </c>
      <c r="AH59" s="63"/>
      <c r="AI59" s="63">
        <f>AG59+AH61+AH62+AH63</f>
        <v>0</v>
      </c>
    </row>
    <row r="60" spans="1:35" ht="21">
      <c r="A60" s="55" t="s">
        <v>22</v>
      </c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56"/>
      <c r="AG60" s="63">
        <f t="shared" si="31"/>
        <v>0</v>
      </c>
      <c r="AH60" s="63"/>
      <c r="AI60" s="63">
        <f>AG60+AH61+AH62+AH63</f>
        <v>0</v>
      </c>
    </row>
    <row r="61" spans="1:35" ht="21">
      <c r="A61" s="55" t="s">
        <v>23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56"/>
      <c r="AG61" s="63">
        <f t="shared" si="31"/>
        <v>0</v>
      </c>
      <c r="AH61" s="63"/>
      <c r="AI61" s="63">
        <f t="shared" ref="AI61:AI66" si="32">AG61-AH61</f>
        <v>0</v>
      </c>
    </row>
    <row r="62" spans="1:35" ht="21">
      <c r="A62" s="55" t="s">
        <v>24</v>
      </c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56"/>
      <c r="AG62" s="63">
        <f t="shared" si="31"/>
        <v>0</v>
      </c>
      <c r="AH62" s="63"/>
      <c r="AI62" s="63">
        <f t="shared" si="32"/>
        <v>0</v>
      </c>
    </row>
    <row r="63" spans="1:35" ht="21">
      <c r="A63" s="55" t="s">
        <v>26</v>
      </c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56"/>
      <c r="AG63" s="63">
        <f t="shared" si="31"/>
        <v>0</v>
      </c>
      <c r="AH63" s="63"/>
      <c r="AI63" s="63">
        <f t="shared" si="32"/>
        <v>0</v>
      </c>
    </row>
    <row r="64" spans="1:35" ht="21">
      <c r="A64" s="55" t="s">
        <v>28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63">
        <f t="shared" si="31"/>
        <v>0</v>
      </c>
      <c r="AH64" s="70"/>
      <c r="AI64" s="63">
        <f t="shared" si="32"/>
        <v>0</v>
      </c>
    </row>
    <row r="65" spans="1:35" ht="21">
      <c r="A65" s="55" t="s">
        <v>29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63">
        <f t="shared" si="31"/>
        <v>0</v>
      </c>
      <c r="AH65" s="71"/>
      <c r="AI65" s="63">
        <f t="shared" si="32"/>
        <v>0</v>
      </c>
    </row>
    <row r="66" spans="1:35" ht="21">
      <c r="A66" s="56" t="s">
        <v>31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63">
        <f t="shared" si="31"/>
        <v>0</v>
      </c>
      <c r="AH66" s="63"/>
      <c r="AI66" s="63">
        <f t="shared" si="32"/>
        <v>0</v>
      </c>
    </row>
    <row r="67" spans="1:35" ht="23.25">
      <c r="A67" s="250" t="s">
        <v>135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59"/>
      <c r="AI67" s="60"/>
    </row>
    <row r="68" spans="1:35" ht="21">
      <c r="A68" s="53"/>
      <c r="B68" s="54">
        <v>46113</v>
      </c>
      <c r="C68" s="54">
        <v>46114</v>
      </c>
      <c r="D68" s="54">
        <v>46115</v>
      </c>
      <c r="E68" s="54">
        <v>46116</v>
      </c>
      <c r="F68" s="54">
        <v>46117</v>
      </c>
      <c r="G68" s="54">
        <v>46118</v>
      </c>
      <c r="H68" s="54">
        <v>46119</v>
      </c>
      <c r="I68" s="54">
        <v>46120</v>
      </c>
      <c r="J68" s="54">
        <v>46121</v>
      </c>
      <c r="K68" s="54">
        <v>46122</v>
      </c>
      <c r="L68" s="54">
        <v>46123</v>
      </c>
      <c r="M68" s="54">
        <v>46124</v>
      </c>
      <c r="N68" s="54">
        <v>46125</v>
      </c>
      <c r="O68" s="54">
        <v>46126</v>
      </c>
      <c r="P68" s="54">
        <v>46127</v>
      </c>
      <c r="Q68" s="54">
        <v>46128</v>
      </c>
      <c r="R68" s="54">
        <v>46129</v>
      </c>
      <c r="S68" s="54">
        <v>46130</v>
      </c>
      <c r="T68" s="54">
        <v>46131</v>
      </c>
      <c r="U68" s="54">
        <v>46132</v>
      </c>
      <c r="V68" s="54">
        <v>46133</v>
      </c>
      <c r="W68" s="54">
        <v>46134</v>
      </c>
      <c r="X68" s="54">
        <v>46135</v>
      </c>
      <c r="Y68" s="54">
        <v>46136</v>
      </c>
      <c r="Z68" s="54">
        <v>46137</v>
      </c>
      <c r="AA68" s="54">
        <v>46138</v>
      </c>
      <c r="AB68" s="54">
        <v>46139</v>
      </c>
      <c r="AC68" s="54">
        <v>46140</v>
      </c>
      <c r="AD68" s="54">
        <v>46141</v>
      </c>
      <c r="AE68" s="54">
        <v>46142</v>
      </c>
      <c r="AF68" s="54"/>
      <c r="AG68" s="61" t="s">
        <v>2</v>
      </c>
      <c r="AH68" s="61" t="s">
        <v>3</v>
      </c>
      <c r="AI68" s="124" t="s">
        <v>125</v>
      </c>
    </row>
    <row r="69" spans="1:35" ht="21">
      <c r="A69" s="55" t="s">
        <v>56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63">
        <f>SUM(B69:AF69)</f>
        <v>0</v>
      </c>
      <c r="AH69" s="63"/>
      <c r="AI69" s="63">
        <f>AG69</f>
        <v>0</v>
      </c>
    </row>
    <row r="70" spans="1:35" ht="21">
      <c r="A70" s="55" t="s">
        <v>21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63">
        <f t="shared" ref="AG70:AG77" si="33">SUM(B70:AF70)</f>
        <v>0</v>
      </c>
      <c r="AH70" s="63"/>
      <c r="AI70" s="63">
        <f>AG70+AH72+AH73+AH74</f>
        <v>0</v>
      </c>
    </row>
    <row r="71" spans="1:35" ht="21">
      <c r="A71" s="55" t="s">
        <v>22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56"/>
      <c r="AG71" s="63">
        <f t="shared" si="33"/>
        <v>0</v>
      </c>
      <c r="AH71" s="63"/>
      <c r="AI71" s="63">
        <f>AG71+AH72+AH73+AH74</f>
        <v>0</v>
      </c>
    </row>
    <row r="72" spans="1:35" ht="21">
      <c r="A72" s="55" t="s">
        <v>23</v>
      </c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56"/>
      <c r="AG72" s="63">
        <f t="shared" si="33"/>
        <v>0</v>
      </c>
      <c r="AH72" s="63"/>
      <c r="AI72" s="63">
        <f t="shared" ref="AI72:AI77" si="34">AG72-AH72</f>
        <v>0</v>
      </c>
    </row>
    <row r="73" spans="1:35" ht="21">
      <c r="A73" s="55" t="s">
        <v>24</v>
      </c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56"/>
      <c r="AG73" s="63">
        <f t="shared" si="33"/>
        <v>0</v>
      </c>
      <c r="AH73" s="63"/>
      <c r="AI73" s="63">
        <f t="shared" si="34"/>
        <v>0</v>
      </c>
    </row>
    <row r="74" spans="1:35" ht="21">
      <c r="A74" s="55" t="s">
        <v>26</v>
      </c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56"/>
      <c r="AG74" s="63">
        <f t="shared" si="33"/>
        <v>0</v>
      </c>
      <c r="AH74" s="63"/>
      <c r="AI74" s="63">
        <f t="shared" si="34"/>
        <v>0</v>
      </c>
    </row>
    <row r="75" spans="1:35" ht="21">
      <c r="A75" s="55" t="s">
        <v>28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63">
        <f t="shared" si="33"/>
        <v>0</v>
      </c>
      <c r="AH75" s="70"/>
      <c r="AI75" s="63">
        <f t="shared" si="34"/>
        <v>0</v>
      </c>
    </row>
    <row r="76" spans="1:35" ht="21">
      <c r="A76" s="55" t="s">
        <v>29</v>
      </c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63">
        <f t="shared" si="33"/>
        <v>0</v>
      </c>
      <c r="AH76" s="71"/>
      <c r="AI76" s="63">
        <f t="shared" si="34"/>
        <v>0</v>
      </c>
    </row>
    <row r="77" spans="1:35" ht="21">
      <c r="A77" s="56" t="s">
        <v>31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63">
        <f t="shared" si="33"/>
        <v>0</v>
      </c>
      <c r="AH77" s="63"/>
      <c r="AI77" s="63">
        <f t="shared" si="34"/>
        <v>0</v>
      </c>
    </row>
    <row r="78" spans="1:35" ht="23.25">
      <c r="A78" s="250" t="s">
        <v>136</v>
      </c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0"/>
      <c r="AF78" s="250"/>
      <c r="AG78" s="250"/>
      <c r="AH78" s="59"/>
      <c r="AI78" s="60"/>
    </row>
    <row r="79" spans="1:35" ht="21">
      <c r="A79" s="53" t="s">
        <v>27</v>
      </c>
      <c r="B79" s="54">
        <v>46113</v>
      </c>
      <c r="C79" s="54">
        <v>46114</v>
      </c>
      <c r="D79" s="54">
        <v>46115</v>
      </c>
      <c r="E79" s="54">
        <v>46116</v>
      </c>
      <c r="F79" s="54">
        <v>46117</v>
      </c>
      <c r="G79" s="54">
        <v>46118</v>
      </c>
      <c r="H79" s="54">
        <v>46119</v>
      </c>
      <c r="I79" s="54">
        <v>46120</v>
      </c>
      <c r="J79" s="54">
        <v>46121</v>
      </c>
      <c r="K79" s="54">
        <v>46122</v>
      </c>
      <c r="L79" s="54">
        <v>46123</v>
      </c>
      <c r="M79" s="54">
        <v>46124</v>
      </c>
      <c r="N79" s="54">
        <v>46125</v>
      </c>
      <c r="O79" s="54">
        <v>46126</v>
      </c>
      <c r="P79" s="54">
        <v>46127</v>
      </c>
      <c r="Q79" s="54">
        <v>46128</v>
      </c>
      <c r="R79" s="54">
        <v>46129</v>
      </c>
      <c r="S79" s="54">
        <v>46130</v>
      </c>
      <c r="T79" s="54">
        <v>46131</v>
      </c>
      <c r="U79" s="54">
        <v>46132</v>
      </c>
      <c r="V79" s="54">
        <v>46133</v>
      </c>
      <c r="W79" s="54">
        <v>46134</v>
      </c>
      <c r="X79" s="54">
        <v>46135</v>
      </c>
      <c r="Y79" s="54">
        <v>46136</v>
      </c>
      <c r="Z79" s="54">
        <v>46137</v>
      </c>
      <c r="AA79" s="54">
        <v>46138</v>
      </c>
      <c r="AB79" s="54">
        <v>46139</v>
      </c>
      <c r="AC79" s="54">
        <v>46140</v>
      </c>
      <c r="AD79" s="54">
        <v>46141</v>
      </c>
      <c r="AE79" s="54">
        <v>46142</v>
      </c>
      <c r="AF79" s="54"/>
      <c r="AG79" s="61" t="s">
        <v>2</v>
      </c>
      <c r="AH79" s="61" t="s">
        <v>3</v>
      </c>
      <c r="AI79" s="124" t="s">
        <v>126</v>
      </c>
    </row>
    <row r="80" spans="1:35" ht="21">
      <c r="A80" s="55" t="s">
        <v>56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63">
        <f>SUM(B80:AF80)</f>
        <v>0</v>
      </c>
      <c r="AH80" s="63"/>
      <c r="AI80" s="63">
        <f>AG80</f>
        <v>0</v>
      </c>
    </row>
    <row r="81" spans="1:68" ht="21">
      <c r="A81" s="55" t="s">
        <v>21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63">
        <f t="shared" ref="AG81:AG88" si="35">SUM(B81:AF81)</f>
        <v>0</v>
      </c>
      <c r="AH81" s="63"/>
      <c r="AI81" s="63">
        <f>AG81+AH83+AH84+AH85</f>
        <v>0</v>
      </c>
    </row>
    <row r="82" spans="1:68" ht="21">
      <c r="A82" s="55" t="s">
        <v>22</v>
      </c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56"/>
      <c r="AG82" s="63">
        <f t="shared" si="35"/>
        <v>0</v>
      </c>
      <c r="AH82" s="63"/>
      <c r="AI82" s="63">
        <f>AG82+AH83+AH84+AH85</f>
        <v>0</v>
      </c>
    </row>
    <row r="83" spans="1:68" ht="21">
      <c r="A83" s="55" t="s">
        <v>23</v>
      </c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56"/>
      <c r="AG83" s="63">
        <f t="shared" si="35"/>
        <v>0</v>
      </c>
      <c r="AH83" s="63"/>
      <c r="AI83" s="63">
        <f t="shared" ref="AI83:AI88" si="36">AG83-AH83</f>
        <v>0</v>
      </c>
    </row>
    <row r="84" spans="1:68" ht="21">
      <c r="A84" s="55" t="s">
        <v>24</v>
      </c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56"/>
      <c r="AG84" s="63">
        <f t="shared" si="35"/>
        <v>0</v>
      </c>
      <c r="AH84" s="63"/>
      <c r="AI84" s="63">
        <f t="shared" si="36"/>
        <v>0</v>
      </c>
    </row>
    <row r="85" spans="1:68" ht="21">
      <c r="A85" s="55" t="s">
        <v>26</v>
      </c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56"/>
      <c r="AG85" s="63">
        <f t="shared" si="35"/>
        <v>0</v>
      </c>
      <c r="AH85" s="63"/>
      <c r="AI85" s="63">
        <f t="shared" si="36"/>
        <v>0</v>
      </c>
    </row>
    <row r="86" spans="1:68" ht="21">
      <c r="A86" s="55" t="s">
        <v>28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63">
        <f t="shared" si="35"/>
        <v>0</v>
      </c>
      <c r="AH86" s="70"/>
      <c r="AI86" s="63">
        <f t="shared" si="36"/>
        <v>0</v>
      </c>
    </row>
    <row r="87" spans="1:68" ht="21">
      <c r="A87" s="55" t="s">
        <v>29</v>
      </c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63">
        <f t="shared" si="35"/>
        <v>0</v>
      </c>
      <c r="AH87" s="71"/>
      <c r="AI87" s="63">
        <f t="shared" si="36"/>
        <v>0</v>
      </c>
    </row>
    <row r="88" spans="1:68" ht="21">
      <c r="A88" s="56" t="s">
        <v>31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63">
        <f t="shared" si="35"/>
        <v>0</v>
      </c>
      <c r="AH88" s="63"/>
      <c r="AI88" s="63">
        <f t="shared" si="36"/>
        <v>0</v>
      </c>
    </row>
    <row r="89" spans="1:68" ht="23.25">
      <c r="A89" s="250" t="s">
        <v>137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0"/>
      <c r="AF89" s="250"/>
      <c r="AG89" s="250"/>
      <c r="AH89" s="59"/>
      <c r="AI89" s="60"/>
      <c r="AL89"/>
      <c r="AM89"/>
      <c r="AN89"/>
      <c r="AO89"/>
      <c r="AP89"/>
      <c r="AQ89"/>
      <c r="AR89"/>
      <c r="AS89"/>
      <c r="AT89"/>
      <c r="AU89"/>
      <c r="AV89"/>
      <c r="AW89"/>
      <c r="BE89" s="3"/>
      <c r="BF89" s="41"/>
      <c r="BG89" s="41"/>
      <c r="BJ89" s="3"/>
      <c r="BK89" s="3"/>
      <c r="BL89" s="3"/>
      <c r="BM89" s="3"/>
      <c r="BN89" s="3"/>
      <c r="BO89" s="3"/>
      <c r="BP89" s="3"/>
    </row>
    <row r="90" spans="1:68" ht="21">
      <c r="A90" s="53"/>
      <c r="B90" s="54">
        <v>46113</v>
      </c>
      <c r="C90" s="54">
        <v>46114</v>
      </c>
      <c r="D90" s="54">
        <v>46115</v>
      </c>
      <c r="E90" s="54">
        <v>46116</v>
      </c>
      <c r="F90" s="54">
        <v>46117</v>
      </c>
      <c r="G90" s="54">
        <v>46118</v>
      </c>
      <c r="H90" s="54">
        <v>46119</v>
      </c>
      <c r="I90" s="54">
        <v>46120</v>
      </c>
      <c r="J90" s="54">
        <v>46121</v>
      </c>
      <c r="K90" s="54">
        <v>46122</v>
      </c>
      <c r="L90" s="54">
        <v>46123</v>
      </c>
      <c r="M90" s="54">
        <v>46124</v>
      </c>
      <c r="N90" s="54">
        <v>46125</v>
      </c>
      <c r="O90" s="54">
        <v>46126</v>
      </c>
      <c r="P90" s="54">
        <v>46127</v>
      </c>
      <c r="Q90" s="54">
        <v>46128</v>
      </c>
      <c r="R90" s="54">
        <v>46129</v>
      </c>
      <c r="S90" s="54">
        <v>46130</v>
      </c>
      <c r="T90" s="54">
        <v>46131</v>
      </c>
      <c r="U90" s="54">
        <v>46132</v>
      </c>
      <c r="V90" s="54">
        <v>46133</v>
      </c>
      <c r="W90" s="54">
        <v>46134</v>
      </c>
      <c r="X90" s="54">
        <v>46135</v>
      </c>
      <c r="Y90" s="54">
        <v>46136</v>
      </c>
      <c r="Z90" s="54">
        <v>46137</v>
      </c>
      <c r="AA90" s="54">
        <v>46138</v>
      </c>
      <c r="AB90" s="54">
        <v>46139</v>
      </c>
      <c r="AC90" s="54">
        <v>46140</v>
      </c>
      <c r="AD90" s="54">
        <v>46141</v>
      </c>
      <c r="AE90" s="54">
        <v>46142</v>
      </c>
      <c r="AF90" s="54"/>
      <c r="AG90" s="61" t="s">
        <v>2</v>
      </c>
      <c r="AH90" s="61" t="s">
        <v>3</v>
      </c>
      <c r="AI90" s="62" t="s">
        <v>59</v>
      </c>
    </row>
    <row r="91" spans="1:68" ht="21">
      <c r="A91" s="55" t="s">
        <v>56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63">
        <f>SUM(B91:AF91)</f>
        <v>0</v>
      </c>
      <c r="AH91" s="63"/>
      <c r="AI91" s="63">
        <f>AG91</f>
        <v>0</v>
      </c>
    </row>
    <row r="92" spans="1:68" ht="21">
      <c r="A92" s="55" t="s">
        <v>21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63">
        <f t="shared" ref="AG92:AG99" si="37">SUM(B92:AF92)</f>
        <v>0</v>
      </c>
      <c r="AH92" s="63"/>
      <c r="AI92" s="63">
        <f>AG92+AH94+AH95+AH96</f>
        <v>0</v>
      </c>
    </row>
    <row r="93" spans="1:68" ht="21">
      <c r="A93" s="55" t="s">
        <v>22</v>
      </c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56"/>
      <c r="AG93" s="63">
        <f t="shared" si="37"/>
        <v>0</v>
      </c>
      <c r="AH93" s="63"/>
      <c r="AI93" s="63">
        <f>AG93+AH94+AH95+AH96</f>
        <v>0</v>
      </c>
    </row>
    <row r="94" spans="1:68" ht="21">
      <c r="A94" s="55" t="s">
        <v>23</v>
      </c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56"/>
      <c r="AG94" s="63">
        <f t="shared" si="37"/>
        <v>0</v>
      </c>
      <c r="AH94" s="63"/>
      <c r="AI94" s="63">
        <f t="shared" ref="AI94:AI99" si="38">AG94-AH94</f>
        <v>0</v>
      </c>
    </row>
    <row r="95" spans="1:68" ht="21">
      <c r="A95" s="55" t="s">
        <v>24</v>
      </c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56"/>
      <c r="AG95" s="63">
        <f t="shared" si="37"/>
        <v>0</v>
      </c>
      <c r="AH95" s="63"/>
      <c r="AI95" s="63">
        <f t="shared" si="38"/>
        <v>0</v>
      </c>
    </row>
    <row r="96" spans="1:68" ht="21">
      <c r="A96" s="55" t="s">
        <v>26</v>
      </c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56"/>
      <c r="AG96" s="63">
        <f t="shared" si="37"/>
        <v>0</v>
      </c>
      <c r="AH96" s="63"/>
      <c r="AI96" s="63">
        <f t="shared" si="38"/>
        <v>0</v>
      </c>
    </row>
    <row r="97" spans="1:76" ht="21">
      <c r="A97" s="55" t="s">
        <v>28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63">
        <f t="shared" si="37"/>
        <v>0</v>
      </c>
      <c r="AH97" s="70"/>
      <c r="AI97" s="63">
        <f t="shared" si="38"/>
        <v>0</v>
      </c>
    </row>
    <row r="98" spans="1:76" ht="21">
      <c r="A98" s="55" t="s">
        <v>29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63">
        <f t="shared" si="37"/>
        <v>0</v>
      </c>
      <c r="AH98" s="71"/>
      <c r="AI98" s="63">
        <f t="shared" si="38"/>
        <v>0</v>
      </c>
    </row>
    <row r="99" spans="1:76" ht="21">
      <c r="A99" s="56" t="s">
        <v>31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63">
        <f t="shared" si="37"/>
        <v>0</v>
      </c>
      <c r="AH99" s="63"/>
      <c r="AI99" s="63">
        <f t="shared" si="38"/>
        <v>0</v>
      </c>
    </row>
    <row r="100" spans="1:76" ht="23.25">
      <c r="A100" s="250" t="s">
        <v>138</v>
      </c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59"/>
      <c r="AI100" s="60"/>
      <c r="AL100"/>
      <c r="AM100"/>
      <c r="AN100"/>
      <c r="AO100"/>
      <c r="AP100"/>
      <c r="AQ100"/>
      <c r="AR100"/>
      <c r="AS100"/>
      <c r="AT100"/>
      <c r="AU100"/>
      <c r="AV100"/>
      <c r="AW100"/>
      <c r="BE100" s="3"/>
      <c r="BF100" s="41"/>
      <c r="BG100" s="41"/>
      <c r="BJ100" s="3"/>
      <c r="BK100" s="3"/>
      <c r="BL100" s="3"/>
      <c r="BM100" s="3"/>
      <c r="BN100" s="3"/>
      <c r="BO100" s="3"/>
      <c r="BP100" s="3"/>
    </row>
    <row r="101" spans="1:76" ht="21">
      <c r="A101" s="53"/>
      <c r="B101" s="54">
        <v>46113</v>
      </c>
      <c r="C101" s="54">
        <v>46114</v>
      </c>
      <c r="D101" s="54">
        <v>46115</v>
      </c>
      <c r="E101" s="54">
        <v>46116</v>
      </c>
      <c r="F101" s="54">
        <v>46117</v>
      </c>
      <c r="G101" s="54">
        <v>46118</v>
      </c>
      <c r="H101" s="54">
        <v>46119</v>
      </c>
      <c r="I101" s="54">
        <v>46120</v>
      </c>
      <c r="J101" s="54">
        <v>46121</v>
      </c>
      <c r="K101" s="54">
        <v>46122</v>
      </c>
      <c r="L101" s="54">
        <v>46123</v>
      </c>
      <c r="M101" s="54">
        <v>46124</v>
      </c>
      <c r="N101" s="54">
        <v>46125</v>
      </c>
      <c r="O101" s="54">
        <v>46126</v>
      </c>
      <c r="P101" s="54">
        <v>46127</v>
      </c>
      <c r="Q101" s="54">
        <v>46128</v>
      </c>
      <c r="R101" s="54">
        <v>46129</v>
      </c>
      <c r="S101" s="54">
        <v>46130</v>
      </c>
      <c r="T101" s="54">
        <v>46131</v>
      </c>
      <c r="U101" s="54">
        <v>46132</v>
      </c>
      <c r="V101" s="54">
        <v>46133</v>
      </c>
      <c r="W101" s="54">
        <v>46134</v>
      </c>
      <c r="X101" s="54">
        <v>46135</v>
      </c>
      <c r="Y101" s="54">
        <v>46136</v>
      </c>
      <c r="Z101" s="54">
        <v>46137</v>
      </c>
      <c r="AA101" s="54">
        <v>46138</v>
      </c>
      <c r="AB101" s="54">
        <v>46139</v>
      </c>
      <c r="AC101" s="54">
        <v>46140</v>
      </c>
      <c r="AD101" s="54">
        <v>46141</v>
      </c>
      <c r="AE101" s="54">
        <v>46142</v>
      </c>
      <c r="AF101" s="54"/>
      <c r="AG101" s="61" t="s">
        <v>2</v>
      </c>
      <c r="AH101" s="61" t="s">
        <v>3</v>
      </c>
      <c r="AI101" s="62" t="s">
        <v>61</v>
      </c>
    </row>
    <row r="102" spans="1:76" ht="21">
      <c r="A102" s="55" t="s">
        <v>56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63">
        <f>SUM(B102:AF102)</f>
        <v>0</v>
      </c>
      <c r="AH102" s="63"/>
      <c r="AI102" s="63">
        <f>AG102</f>
        <v>0</v>
      </c>
      <c r="AO102" s="120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2"/>
      <c r="BW102" s="122"/>
      <c r="BX102" s="123"/>
    </row>
    <row r="103" spans="1:76" ht="21">
      <c r="A103" s="55" t="s">
        <v>21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63">
        <f t="shared" ref="AG103:AG110" si="39">SUM(B103:AF103)</f>
        <v>0</v>
      </c>
      <c r="AH103" s="63"/>
      <c r="AI103" s="63">
        <f>AG103+AH105+AH106+AH107</f>
        <v>0</v>
      </c>
      <c r="BF103"/>
      <c r="BG103"/>
      <c r="BH103"/>
      <c r="BI103"/>
    </row>
    <row r="104" spans="1:76" ht="21">
      <c r="A104" s="55" t="s">
        <v>22</v>
      </c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56"/>
      <c r="AG104" s="63">
        <f t="shared" si="39"/>
        <v>0</v>
      </c>
      <c r="AH104" s="63"/>
      <c r="AI104" s="63">
        <f>AG104+AH105+AH106+AH107</f>
        <v>0</v>
      </c>
    </row>
    <row r="105" spans="1:76" ht="21">
      <c r="A105" s="55" t="s">
        <v>23</v>
      </c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56"/>
      <c r="AG105" s="63">
        <f t="shared" si="39"/>
        <v>0</v>
      </c>
      <c r="AH105" s="63"/>
      <c r="AI105" s="63">
        <f t="shared" ref="AI105:AI110" si="40">AG105-AH105</f>
        <v>0</v>
      </c>
    </row>
    <row r="106" spans="1:76" ht="21">
      <c r="A106" s="55" t="s">
        <v>24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56"/>
      <c r="AG106" s="63">
        <f t="shared" si="39"/>
        <v>0</v>
      </c>
      <c r="AH106" s="63"/>
      <c r="AI106" s="63">
        <f t="shared" si="40"/>
        <v>0</v>
      </c>
    </row>
    <row r="107" spans="1:76" ht="21">
      <c r="A107" s="55" t="s">
        <v>26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56"/>
      <c r="AG107" s="63">
        <f t="shared" si="39"/>
        <v>0</v>
      </c>
      <c r="AH107" s="63"/>
      <c r="AI107" s="63">
        <f t="shared" si="40"/>
        <v>0</v>
      </c>
    </row>
    <row r="108" spans="1:76" ht="21">
      <c r="A108" s="55" t="s">
        <v>28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63">
        <f t="shared" si="39"/>
        <v>0</v>
      </c>
      <c r="AH108" s="70"/>
      <c r="AI108" s="63">
        <f t="shared" si="40"/>
        <v>0</v>
      </c>
    </row>
    <row r="109" spans="1:76" ht="21">
      <c r="A109" s="55" t="s">
        <v>29</v>
      </c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63">
        <f t="shared" si="39"/>
        <v>0</v>
      </c>
      <c r="AH109" s="71"/>
      <c r="AI109" s="63">
        <f t="shared" si="40"/>
        <v>0</v>
      </c>
    </row>
    <row r="110" spans="1:76" ht="21">
      <c r="A110" s="56" t="s">
        <v>31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63">
        <f t="shared" si="39"/>
        <v>0</v>
      </c>
      <c r="AH110" s="63"/>
      <c r="AI110" s="63">
        <f t="shared" si="40"/>
        <v>0</v>
      </c>
    </row>
    <row r="113" spans="1:76" ht="23.25">
      <c r="A113" s="250" t="s">
        <v>303</v>
      </c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59"/>
      <c r="AI113" s="60"/>
      <c r="AL113"/>
      <c r="AM113"/>
      <c r="AN113"/>
      <c r="AO113"/>
      <c r="AP113"/>
      <c r="AQ113"/>
      <c r="AR113"/>
      <c r="AS113"/>
      <c r="AT113"/>
      <c r="AU113"/>
      <c r="AV113"/>
      <c r="AW113"/>
      <c r="BE113" s="3"/>
      <c r="BF113" s="41"/>
      <c r="BG113" s="41"/>
      <c r="BJ113" s="3"/>
      <c r="BK113" s="3"/>
      <c r="BL113" s="3"/>
      <c r="BM113" s="3"/>
      <c r="BN113" s="3"/>
      <c r="BO113" s="3"/>
      <c r="BP113" s="3"/>
    </row>
    <row r="114" spans="1:76" ht="21">
      <c r="A114" s="53"/>
      <c r="B114" s="54">
        <v>46113</v>
      </c>
      <c r="C114" s="54">
        <v>46114</v>
      </c>
      <c r="D114" s="54">
        <v>46115</v>
      </c>
      <c r="E114" s="54">
        <v>46116</v>
      </c>
      <c r="F114" s="54">
        <v>46117</v>
      </c>
      <c r="G114" s="54">
        <v>46118</v>
      </c>
      <c r="H114" s="54">
        <v>46119</v>
      </c>
      <c r="I114" s="54">
        <v>46120</v>
      </c>
      <c r="J114" s="54">
        <v>46121</v>
      </c>
      <c r="K114" s="54">
        <v>46122</v>
      </c>
      <c r="L114" s="54">
        <v>46123</v>
      </c>
      <c r="M114" s="54">
        <v>46124</v>
      </c>
      <c r="N114" s="54">
        <v>46125</v>
      </c>
      <c r="O114" s="54">
        <v>46126</v>
      </c>
      <c r="P114" s="54">
        <v>46127</v>
      </c>
      <c r="Q114" s="54">
        <v>46128</v>
      </c>
      <c r="R114" s="54">
        <v>46129</v>
      </c>
      <c r="S114" s="54">
        <v>46130</v>
      </c>
      <c r="T114" s="54">
        <v>46131</v>
      </c>
      <c r="U114" s="54">
        <v>46132</v>
      </c>
      <c r="V114" s="54">
        <v>46133</v>
      </c>
      <c r="W114" s="54">
        <v>46134</v>
      </c>
      <c r="X114" s="54">
        <v>46135</v>
      </c>
      <c r="Y114" s="54">
        <v>46136</v>
      </c>
      <c r="Z114" s="54">
        <v>46137</v>
      </c>
      <c r="AA114" s="54">
        <v>46138</v>
      </c>
      <c r="AB114" s="54">
        <v>46139</v>
      </c>
      <c r="AC114" s="54">
        <v>46140</v>
      </c>
      <c r="AD114" s="54">
        <v>46141</v>
      </c>
      <c r="AE114" s="54">
        <v>46142</v>
      </c>
      <c r="AF114" s="54"/>
      <c r="AG114" s="61" t="s">
        <v>2</v>
      </c>
      <c r="AH114" s="61" t="s">
        <v>3</v>
      </c>
      <c r="AI114" s="62" t="s">
        <v>304</v>
      </c>
    </row>
    <row r="115" spans="1:76" ht="21">
      <c r="A115" s="55" t="s">
        <v>56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63">
        <f>SUM(B115:AF115)</f>
        <v>0</v>
      </c>
      <c r="AH115" s="63"/>
      <c r="AI115" s="63">
        <f>AG115</f>
        <v>0</v>
      </c>
      <c r="AO115" s="120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2"/>
      <c r="BW115" s="122"/>
      <c r="BX115" s="123"/>
    </row>
    <row r="116" spans="1:76" ht="21">
      <c r="A116" s="55" t="s">
        <v>21</v>
      </c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63">
        <f t="shared" ref="AG116:AG123" si="41">SUM(B116:AF116)</f>
        <v>0</v>
      </c>
      <c r="AH116" s="63"/>
      <c r="AI116" s="63">
        <f>AG116+AH118+AH119+AH120</f>
        <v>0</v>
      </c>
      <c r="BF116"/>
      <c r="BG116"/>
      <c r="BH116"/>
      <c r="BI116"/>
    </row>
    <row r="117" spans="1:76" ht="21">
      <c r="A117" s="55" t="s">
        <v>22</v>
      </c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56"/>
      <c r="AG117" s="63">
        <f t="shared" si="41"/>
        <v>0</v>
      </c>
      <c r="AH117" s="63"/>
      <c r="AI117" s="63">
        <f>AG117+AH118+AH119+AH120</f>
        <v>0</v>
      </c>
    </row>
    <row r="118" spans="1:76" ht="21">
      <c r="A118" s="55" t="s">
        <v>23</v>
      </c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56"/>
      <c r="AG118" s="63">
        <f t="shared" si="41"/>
        <v>0</v>
      </c>
      <c r="AH118" s="63"/>
      <c r="AI118" s="63">
        <f t="shared" ref="AI118:AI123" si="42">AG118-AH118</f>
        <v>0</v>
      </c>
    </row>
    <row r="119" spans="1:76" ht="21">
      <c r="A119" s="55" t="s">
        <v>24</v>
      </c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56"/>
      <c r="AG119" s="63">
        <f t="shared" si="41"/>
        <v>0</v>
      </c>
      <c r="AH119" s="63"/>
      <c r="AI119" s="63">
        <f t="shared" si="42"/>
        <v>0</v>
      </c>
    </row>
    <row r="120" spans="1:76" ht="21">
      <c r="A120" s="55" t="s">
        <v>26</v>
      </c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56"/>
      <c r="AG120" s="63">
        <f t="shared" si="41"/>
        <v>0</v>
      </c>
      <c r="AH120" s="63"/>
      <c r="AI120" s="63">
        <f t="shared" si="42"/>
        <v>0</v>
      </c>
    </row>
    <row r="121" spans="1:76" ht="21">
      <c r="A121" s="55" t="s">
        <v>28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63">
        <f t="shared" si="41"/>
        <v>0</v>
      </c>
      <c r="AH121" s="70"/>
      <c r="AI121" s="63">
        <f t="shared" si="42"/>
        <v>0</v>
      </c>
    </row>
    <row r="122" spans="1:76" ht="21">
      <c r="A122" s="55" t="s">
        <v>29</v>
      </c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63">
        <f t="shared" si="41"/>
        <v>0</v>
      </c>
      <c r="AH122" s="71"/>
      <c r="AI122" s="63">
        <f t="shared" si="42"/>
        <v>0</v>
      </c>
    </row>
    <row r="123" spans="1:76" ht="21">
      <c r="A123" s="56" t="s">
        <v>31</v>
      </c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63">
        <f t="shared" si="41"/>
        <v>0</v>
      </c>
      <c r="AH123" s="63"/>
      <c r="AI123" s="63">
        <f t="shared" si="42"/>
        <v>0</v>
      </c>
      <c r="AK123">
        <v>16</v>
      </c>
    </row>
  </sheetData>
  <mergeCells count="19">
    <mergeCell ref="A113:AG113"/>
    <mergeCell ref="A45:AG45"/>
    <mergeCell ref="A56:AG56"/>
    <mergeCell ref="A67:AG67"/>
    <mergeCell ref="A78:AG78"/>
    <mergeCell ref="A89:AG89"/>
    <mergeCell ref="A100:AG100"/>
    <mergeCell ref="A34:AG34"/>
    <mergeCell ref="A1:AG1"/>
    <mergeCell ref="AK1:AW2"/>
    <mergeCell ref="AY1:BC2"/>
    <mergeCell ref="BF1:BI2"/>
    <mergeCell ref="A12:AG12"/>
    <mergeCell ref="AK14:AW15"/>
    <mergeCell ref="AK16:AW17"/>
    <mergeCell ref="A23:AG23"/>
    <mergeCell ref="AZ27:BA27"/>
    <mergeCell ref="AZ28:BA28"/>
    <mergeCell ref="AZ29:BA29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66"/>
  <sheetViews>
    <sheetView showGridLines="0" zoomScale="80" zoomScaleNormal="80" workbookViewId="0">
      <pane xSplit="1" topLeftCell="B1" activePane="topRight" state="frozen"/>
      <selection pane="topRight" activeCell="F16" sqref="F16"/>
    </sheetView>
  </sheetViews>
  <sheetFormatPr baseColWidth="10" defaultColWidth="11.42578125" defaultRowHeight="15"/>
  <cols>
    <col min="1" max="1" width="35.5703125" customWidth="1"/>
    <col min="2" max="10" width="6.5703125" customWidth="1"/>
    <col min="11" max="32" width="7.7109375" customWidth="1"/>
    <col min="33" max="33" width="6.7109375" customWidth="1"/>
    <col min="34" max="34" width="21.42578125" style="3" customWidth="1"/>
    <col min="35" max="35" width="11.42578125" style="3"/>
    <col min="36" max="36" width="6.42578125" customWidth="1"/>
    <col min="37" max="37" width="35.5703125" customWidth="1"/>
    <col min="38" max="38" width="6.28515625" style="3" customWidth="1"/>
    <col min="39" max="39" width="7.85546875" style="3" customWidth="1"/>
    <col min="40" max="40" width="9.42578125" style="3" customWidth="1"/>
    <col min="41" max="41" width="11.42578125" style="3"/>
    <col min="42" max="42" width="10.5703125" style="3" customWidth="1"/>
    <col min="43" max="43" width="10.28515625" style="3" customWidth="1"/>
    <col min="44" max="44" width="7" style="3" customWidth="1"/>
  </cols>
  <sheetData>
    <row r="1" spans="1:44" ht="21">
      <c r="A1" s="317" t="s">
        <v>116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19"/>
      <c r="AI1" s="20"/>
      <c r="AJ1" s="21"/>
      <c r="AK1" s="318" t="s">
        <v>117</v>
      </c>
      <c r="AL1" s="319"/>
      <c r="AM1" s="319"/>
      <c r="AN1" s="319"/>
      <c r="AO1" s="319"/>
      <c r="AP1" s="319"/>
      <c r="AQ1" s="319"/>
      <c r="AR1" s="320"/>
    </row>
    <row r="2" spans="1:44" s="1" customFormat="1">
      <c r="A2" s="4"/>
      <c r="B2" s="5">
        <v>45108</v>
      </c>
      <c r="C2" s="5">
        <v>45109</v>
      </c>
      <c r="D2" s="5">
        <v>45110</v>
      </c>
      <c r="E2" s="5">
        <v>45111</v>
      </c>
      <c r="F2" s="5">
        <v>45112</v>
      </c>
      <c r="G2" s="5">
        <v>45113</v>
      </c>
      <c r="H2" s="5">
        <v>45114</v>
      </c>
      <c r="I2" s="5">
        <v>45115</v>
      </c>
      <c r="J2" s="5">
        <v>45116</v>
      </c>
      <c r="K2" s="5">
        <v>45117</v>
      </c>
      <c r="L2" s="5">
        <v>45118</v>
      </c>
      <c r="M2" s="5">
        <v>45119</v>
      </c>
      <c r="N2" s="5">
        <v>45120</v>
      </c>
      <c r="O2" s="5">
        <v>45121</v>
      </c>
      <c r="P2" s="5">
        <v>45122</v>
      </c>
      <c r="Q2" s="5">
        <v>45123</v>
      </c>
      <c r="R2" s="5">
        <v>45124</v>
      </c>
      <c r="S2" s="5">
        <v>45125</v>
      </c>
      <c r="T2" s="5">
        <v>45126</v>
      </c>
      <c r="U2" s="5">
        <v>45127</v>
      </c>
      <c r="V2" s="5">
        <v>45128</v>
      </c>
      <c r="W2" s="5">
        <v>45129</v>
      </c>
      <c r="X2" s="5">
        <v>45130</v>
      </c>
      <c r="Y2" s="5">
        <v>45131</v>
      </c>
      <c r="Z2" s="5">
        <v>45132</v>
      </c>
      <c r="AA2" s="5">
        <v>45133</v>
      </c>
      <c r="AB2" s="5">
        <v>45134</v>
      </c>
      <c r="AC2" s="5">
        <v>45135</v>
      </c>
      <c r="AD2" s="5">
        <v>45136</v>
      </c>
      <c r="AE2" s="5">
        <v>45137</v>
      </c>
      <c r="AF2" s="5">
        <v>45138</v>
      </c>
      <c r="AG2" s="22" t="s">
        <v>2</v>
      </c>
      <c r="AH2" s="23" t="s">
        <v>3</v>
      </c>
      <c r="AI2" s="24" t="s">
        <v>2</v>
      </c>
      <c r="AJ2" s="21"/>
      <c r="AK2" s="321"/>
      <c r="AL2" s="322"/>
      <c r="AM2" s="322"/>
      <c r="AN2" s="322"/>
      <c r="AO2" s="322"/>
      <c r="AP2" s="322"/>
      <c r="AQ2" s="322"/>
      <c r="AR2" s="323"/>
    </row>
    <row r="3" spans="1:44" ht="18.75">
      <c r="A3" s="6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>
        <f>SUM(B3:AF3)</f>
        <v>0</v>
      </c>
      <c r="AH3" s="25"/>
      <c r="AI3" s="26">
        <f>AG3+AH3+AH4+AH5+AH6+AH7</f>
        <v>0</v>
      </c>
      <c r="AK3" s="27" t="s">
        <v>27</v>
      </c>
      <c r="AL3" s="28" t="s">
        <v>7</v>
      </c>
      <c r="AM3" s="28" t="s">
        <v>8</v>
      </c>
      <c r="AN3" s="28" t="s">
        <v>9</v>
      </c>
      <c r="AO3" s="28" t="s">
        <v>10</v>
      </c>
      <c r="AP3" s="28" t="s">
        <v>11</v>
      </c>
      <c r="AQ3" s="28" t="s">
        <v>30</v>
      </c>
      <c r="AR3" s="42" t="s">
        <v>2</v>
      </c>
    </row>
    <row r="4" spans="1:44" ht="18.75">
      <c r="A4" s="8" t="s">
        <v>21</v>
      </c>
      <c r="AG4">
        <f t="shared" ref="AG4:AG10" si="0">SUM(B4:AF4)</f>
        <v>0</v>
      </c>
      <c r="AI4" s="29">
        <f t="shared" ref="AI4:AI10" si="1">AG4-AH4</f>
        <v>0</v>
      </c>
      <c r="AK4" s="30" t="s">
        <v>5</v>
      </c>
      <c r="AL4" s="25">
        <f>AI3</f>
        <v>0</v>
      </c>
      <c r="AM4" s="25">
        <f>AI14</f>
        <v>0</v>
      </c>
      <c r="AN4" s="25">
        <f>AI25</f>
        <v>0</v>
      </c>
      <c r="AO4" s="25">
        <f>AI36</f>
        <v>0</v>
      </c>
      <c r="AP4" s="25">
        <f>AI47</f>
        <v>0</v>
      </c>
      <c r="AQ4" s="25">
        <f>AI59</f>
        <v>1</v>
      </c>
      <c r="AR4" s="26">
        <f t="shared" ref="AR4:AR11" si="2">SUM(AL4:AQ4)</f>
        <v>1</v>
      </c>
    </row>
    <row r="5" spans="1:44" ht="18.75">
      <c r="A5" s="9" t="s">
        <v>22</v>
      </c>
      <c r="AG5">
        <f t="shared" si="0"/>
        <v>0</v>
      </c>
      <c r="AI5" s="29">
        <f t="shared" si="1"/>
        <v>0</v>
      </c>
      <c r="AK5" s="31" t="s">
        <v>21</v>
      </c>
      <c r="AL5" s="3">
        <f t="shared" ref="AL5:AL11" si="3">AI4</f>
        <v>0</v>
      </c>
      <c r="AM5" s="3">
        <f t="shared" ref="AM5:AM11" si="4">AI15</f>
        <v>0</v>
      </c>
      <c r="AN5" s="3">
        <f t="shared" ref="AN5:AN11" si="5">AI26</f>
        <v>0</v>
      </c>
      <c r="AO5" s="3">
        <f t="shared" ref="AO5:AO11" si="6">AI37</f>
        <v>0</v>
      </c>
      <c r="AP5" s="3">
        <f t="shared" ref="AP5:AP11" si="7">AI48</f>
        <v>0</v>
      </c>
      <c r="AQ5" s="3">
        <f t="shared" ref="AQ5:AQ11" si="8">AI60</f>
        <v>1</v>
      </c>
      <c r="AR5" s="29">
        <f t="shared" si="2"/>
        <v>1</v>
      </c>
    </row>
    <row r="6" spans="1:44" ht="18.75">
      <c r="A6" s="10" t="s">
        <v>23</v>
      </c>
      <c r="AG6">
        <f t="shared" si="0"/>
        <v>0</v>
      </c>
      <c r="AI6" s="29">
        <f t="shared" si="1"/>
        <v>0</v>
      </c>
      <c r="AK6" s="32" t="s">
        <v>22</v>
      </c>
      <c r="AL6" s="3">
        <f t="shared" si="3"/>
        <v>0</v>
      </c>
      <c r="AM6" s="3">
        <f t="shared" si="4"/>
        <v>0</v>
      </c>
      <c r="AN6" s="3">
        <f t="shared" si="5"/>
        <v>0</v>
      </c>
      <c r="AO6" s="3">
        <f t="shared" si="6"/>
        <v>0</v>
      </c>
      <c r="AP6" s="3">
        <f t="shared" si="7"/>
        <v>0</v>
      </c>
      <c r="AQ6" s="3">
        <f t="shared" si="8"/>
        <v>1</v>
      </c>
      <c r="AR6" s="29">
        <f t="shared" si="2"/>
        <v>1</v>
      </c>
    </row>
    <row r="7" spans="1:44" ht="18.75">
      <c r="A7" s="11" t="s">
        <v>24</v>
      </c>
      <c r="AG7">
        <f t="shared" si="0"/>
        <v>0</v>
      </c>
      <c r="AI7" s="29">
        <f t="shared" si="1"/>
        <v>0</v>
      </c>
      <c r="AK7" s="33" t="s">
        <v>23</v>
      </c>
      <c r="AL7" s="3">
        <f t="shared" si="3"/>
        <v>0</v>
      </c>
      <c r="AM7" s="3">
        <f t="shared" si="4"/>
        <v>0</v>
      </c>
      <c r="AN7" s="3">
        <f t="shared" si="5"/>
        <v>0</v>
      </c>
      <c r="AO7" s="3">
        <f t="shared" si="6"/>
        <v>0</v>
      </c>
      <c r="AP7" s="3">
        <f t="shared" si="7"/>
        <v>0</v>
      </c>
      <c r="AQ7" s="3">
        <f t="shared" si="8"/>
        <v>1</v>
      </c>
      <c r="AR7" s="29">
        <f t="shared" si="2"/>
        <v>1</v>
      </c>
    </row>
    <row r="8" spans="1:44" ht="18.75">
      <c r="A8" s="12" t="s">
        <v>26</v>
      </c>
      <c r="AG8">
        <f t="shared" si="0"/>
        <v>0</v>
      </c>
      <c r="AI8" s="29">
        <f t="shared" si="1"/>
        <v>0</v>
      </c>
      <c r="AJ8" t="s">
        <v>27</v>
      </c>
      <c r="AK8" s="34" t="s">
        <v>24</v>
      </c>
      <c r="AL8" s="3">
        <f t="shared" si="3"/>
        <v>0</v>
      </c>
      <c r="AM8" s="3">
        <f t="shared" si="4"/>
        <v>0</v>
      </c>
      <c r="AN8" s="3">
        <f t="shared" si="5"/>
        <v>0</v>
      </c>
      <c r="AO8" s="3">
        <f t="shared" si="6"/>
        <v>0</v>
      </c>
      <c r="AP8" s="3">
        <f t="shared" si="7"/>
        <v>0</v>
      </c>
      <c r="AQ8" s="3">
        <f t="shared" si="8"/>
        <v>1</v>
      </c>
      <c r="AR8" s="29">
        <f t="shared" si="2"/>
        <v>1</v>
      </c>
    </row>
    <row r="9" spans="1:44" ht="18.75">
      <c r="A9" s="13" t="s">
        <v>118</v>
      </c>
      <c r="AG9">
        <f t="shared" si="0"/>
        <v>0</v>
      </c>
      <c r="AI9" s="29">
        <f t="shared" si="1"/>
        <v>0</v>
      </c>
      <c r="AK9" s="35" t="s">
        <v>26</v>
      </c>
      <c r="AL9" s="3">
        <f t="shared" si="3"/>
        <v>0</v>
      </c>
      <c r="AM9" s="3">
        <f t="shared" si="4"/>
        <v>0</v>
      </c>
      <c r="AN9" s="3">
        <f t="shared" si="5"/>
        <v>0</v>
      </c>
      <c r="AO9" s="3">
        <f t="shared" si="6"/>
        <v>0</v>
      </c>
      <c r="AP9" s="3">
        <f t="shared" si="7"/>
        <v>0</v>
      </c>
      <c r="AQ9" s="3">
        <f t="shared" si="8"/>
        <v>1</v>
      </c>
      <c r="AR9" s="29">
        <f t="shared" si="2"/>
        <v>1</v>
      </c>
    </row>
    <row r="10" spans="1:44" ht="18.75">
      <c r="A10" s="14" t="s">
        <v>119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>
        <f t="shared" si="0"/>
        <v>0</v>
      </c>
      <c r="AH10" s="36"/>
      <c r="AI10" s="37">
        <f t="shared" si="1"/>
        <v>0</v>
      </c>
      <c r="AK10" s="38" t="s">
        <v>118</v>
      </c>
      <c r="AL10" s="3">
        <f t="shared" si="3"/>
        <v>0</v>
      </c>
      <c r="AM10" s="3">
        <f t="shared" si="4"/>
        <v>0</v>
      </c>
      <c r="AN10" s="3">
        <f t="shared" si="5"/>
        <v>0</v>
      </c>
      <c r="AO10" s="3">
        <f t="shared" si="6"/>
        <v>0</v>
      </c>
      <c r="AP10" s="3">
        <f t="shared" si="7"/>
        <v>0</v>
      </c>
      <c r="AQ10" s="3">
        <f t="shared" si="8"/>
        <v>1</v>
      </c>
      <c r="AR10" s="29">
        <f t="shared" si="2"/>
        <v>1</v>
      </c>
    </row>
    <row r="11" spans="1:44" ht="18.75">
      <c r="A11" s="16"/>
      <c r="AK11" s="39" t="s">
        <v>119</v>
      </c>
      <c r="AL11" s="36">
        <f t="shared" si="3"/>
        <v>0</v>
      </c>
      <c r="AM11" s="36">
        <f t="shared" si="4"/>
        <v>0</v>
      </c>
      <c r="AN11" s="36">
        <f t="shared" si="5"/>
        <v>0</v>
      </c>
      <c r="AO11" s="36">
        <f t="shared" si="6"/>
        <v>0</v>
      </c>
      <c r="AP11" s="36">
        <f t="shared" si="7"/>
        <v>0</v>
      </c>
      <c r="AQ11" s="36">
        <f t="shared" si="8"/>
        <v>1</v>
      </c>
      <c r="AR11" s="37">
        <f t="shared" si="2"/>
        <v>1</v>
      </c>
    </row>
    <row r="12" spans="1:44" ht="21">
      <c r="A12" s="317" t="s">
        <v>120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19"/>
      <c r="AI12" s="20"/>
      <c r="AK12" s="40"/>
    </row>
    <row r="13" spans="1:44">
      <c r="A13" s="4"/>
      <c r="B13" s="5">
        <v>45108</v>
      </c>
      <c r="C13" s="5">
        <v>45109</v>
      </c>
      <c r="D13" s="5">
        <v>45110</v>
      </c>
      <c r="E13" s="5">
        <v>45111</v>
      </c>
      <c r="F13" s="5">
        <v>45112</v>
      </c>
      <c r="G13" s="5">
        <v>45113</v>
      </c>
      <c r="H13" s="5">
        <v>45114</v>
      </c>
      <c r="I13" s="5">
        <v>45115</v>
      </c>
      <c r="J13" s="5">
        <v>45116</v>
      </c>
      <c r="K13" s="5">
        <v>45117</v>
      </c>
      <c r="L13" s="5">
        <v>45118</v>
      </c>
      <c r="M13" s="5">
        <v>45119</v>
      </c>
      <c r="N13" s="5">
        <v>45120</v>
      </c>
      <c r="O13" s="5">
        <v>45121</v>
      </c>
      <c r="P13" s="5">
        <v>45122</v>
      </c>
      <c r="Q13" s="5">
        <v>45123</v>
      </c>
      <c r="R13" s="5">
        <v>45124</v>
      </c>
      <c r="S13" s="5">
        <v>45125</v>
      </c>
      <c r="T13" s="5">
        <v>45126</v>
      </c>
      <c r="U13" s="5">
        <v>45127</v>
      </c>
      <c r="V13" s="5">
        <v>45128</v>
      </c>
      <c r="W13" s="5">
        <v>45129</v>
      </c>
      <c r="X13" s="5">
        <v>45130</v>
      </c>
      <c r="Y13" s="5">
        <v>45131</v>
      </c>
      <c r="Z13" s="5">
        <v>45132</v>
      </c>
      <c r="AA13" s="5">
        <v>45133</v>
      </c>
      <c r="AB13" s="5">
        <v>45134</v>
      </c>
      <c r="AC13" s="5">
        <v>45135</v>
      </c>
      <c r="AD13" s="5">
        <v>45136</v>
      </c>
      <c r="AE13" s="5">
        <v>45137</v>
      </c>
      <c r="AF13" s="5">
        <v>45138</v>
      </c>
      <c r="AG13" s="22" t="s">
        <v>2</v>
      </c>
      <c r="AH13" s="23" t="s">
        <v>3</v>
      </c>
      <c r="AI13" s="24" t="s">
        <v>2</v>
      </c>
    </row>
    <row r="14" spans="1:44" ht="18.75">
      <c r="A14" s="6" t="s">
        <v>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>
        <f>SUM(B14:AF14)</f>
        <v>0</v>
      </c>
      <c r="AH14" s="25"/>
      <c r="AI14" s="26">
        <f>AG14+AH14+AH15+AH16+AH17+AH18</f>
        <v>0</v>
      </c>
    </row>
    <row r="15" spans="1:44" ht="18.75">
      <c r="A15" s="8" t="s">
        <v>21</v>
      </c>
      <c r="AG15">
        <f t="shared" ref="AG15:AG21" si="9">SUM(B15:AF15)</f>
        <v>0</v>
      </c>
      <c r="AI15" s="29">
        <f t="shared" ref="AI15:AI21" si="10">AG15-AH15</f>
        <v>0</v>
      </c>
    </row>
    <row r="16" spans="1:44" ht="18.75">
      <c r="A16" s="9" t="s">
        <v>22</v>
      </c>
      <c r="AG16">
        <f t="shared" si="9"/>
        <v>0</v>
      </c>
      <c r="AI16" s="29">
        <f t="shared" si="10"/>
        <v>0</v>
      </c>
    </row>
    <row r="17" spans="1:44" ht="18.75">
      <c r="A17" s="10" t="s">
        <v>23</v>
      </c>
      <c r="AG17">
        <f t="shared" si="9"/>
        <v>0</v>
      </c>
      <c r="AI17" s="29">
        <f t="shared" si="10"/>
        <v>0</v>
      </c>
    </row>
    <row r="18" spans="1:44" ht="18.75">
      <c r="A18" s="11" t="s">
        <v>24</v>
      </c>
      <c r="AG18">
        <f t="shared" si="9"/>
        <v>0</v>
      </c>
      <c r="AI18" s="29">
        <f t="shared" si="10"/>
        <v>0</v>
      </c>
    </row>
    <row r="19" spans="1:44" ht="18.75">
      <c r="A19" s="12" t="s">
        <v>26</v>
      </c>
      <c r="AG19">
        <f t="shared" si="9"/>
        <v>0</v>
      </c>
      <c r="AI19" s="29">
        <f t="shared" si="10"/>
        <v>0</v>
      </c>
    </row>
    <row r="20" spans="1:44" ht="18.75">
      <c r="A20" s="13" t="s">
        <v>118</v>
      </c>
      <c r="AG20">
        <f t="shared" si="9"/>
        <v>0</v>
      </c>
      <c r="AI20" s="29">
        <f t="shared" si="10"/>
        <v>0</v>
      </c>
    </row>
    <row r="21" spans="1:44" ht="18.75">
      <c r="A21" s="14" t="s">
        <v>119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>
        <f t="shared" si="9"/>
        <v>0</v>
      </c>
      <c r="AH21" s="36"/>
      <c r="AI21" s="37">
        <f t="shared" si="10"/>
        <v>0</v>
      </c>
    </row>
    <row r="22" spans="1:44">
      <c r="H22" t="s">
        <v>27</v>
      </c>
    </row>
    <row r="23" spans="1:44" s="2" customFormat="1" ht="21">
      <c r="A23" s="317" t="s">
        <v>121</v>
      </c>
      <c r="B23" s="317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19"/>
      <c r="AI23" s="20"/>
      <c r="AL23" s="41"/>
      <c r="AM23" s="41"/>
      <c r="AN23" s="41"/>
      <c r="AO23" s="41"/>
      <c r="AP23" s="41"/>
      <c r="AQ23" s="41"/>
      <c r="AR23" s="41"/>
    </row>
    <row r="24" spans="1:44">
      <c r="A24" s="4"/>
      <c r="B24" s="5">
        <v>45108</v>
      </c>
      <c r="C24" s="5">
        <v>45109</v>
      </c>
      <c r="D24" s="5">
        <v>45110</v>
      </c>
      <c r="E24" s="5">
        <v>45111</v>
      </c>
      <c r="F24" s="5">
        <v>45112</v>
      </c>
      <c r="G24" s="5">
        <v>45113</v>
      </c>
      <c r="H24" s="5">
        <v>45114</v>
      </c>
      <c r="I24" s="5">
        <v>45115</v>
      </c>
      <c r="J24" s="5">
        <v>45116</v>
      </c>
      <c r="K24" s="5">
        <v>45117</v>
      </c>
      <c r="L24" s="5">
        <v>45118</v>
      </c>
      <c r="M24" s="5">
        <v>45119</v>
      </c>
      <c r="N24" s="5">
        <v>45120</v>
      </c>
      <c r="O24" s="5">
        <v>45121</v>
      </c>
      <c r="P24" s="5">
        <v>45122</v>
      </c>
      <c r="Q24" s="5">
        <v>45123</v>
      </c>
      <c r="R24" s="5">
        <v>45124</v>
      </c>
      <c r="S24" s="5">
        <v>45125</v>
      </c>
      <c r="T24" s="5">
        <v>45126</v>
      </c>
      <c r="U24" s="5">
        <v>45127</v>
      </c>
      <c r="V24" s="5">
        <v>45128</v>
      </c>
      <c r="W24" s="5">
        <v>45129</v>
      </c>
      <c r="X24" s="5">
        <v>45130</v>
      </c>
      <c r="Y24" s="5">
        <v>45131</v>
      </c>
      <c r="Z24" s="5">
        <v>45132</v>
      </c>
      <c r="AA24" s="5">
        <v>45133</v>
      </c>
      <c r="AB24" s="5">
        <v>45134</v>
      </c>
      <c r="AC24" s="5">
        <v>45135</v>
      </c>
      <c r="AD24" s="5">
        <v>45136</v>
      </c>
      <c r="AE24" s="5">
        <v>45137</v>
      </c>
      <c r="AF24" s="5">
        <v>45138</v>
      </c>
      <c r="AG24" s="23" t="s">
        <v>2</v>
      </c>
      <c r="AH24" s="23" t="s">
        <v>3</v>
      </c>
      <c r="AI24" s="24" t="s">
        <v>2</v>
      </c>
    </row>
    <row r="25" spans="1:44" ht="18.75">
      <c r="A25" s="6" t="s">
        <v>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>
        <f>SUM(B25:AF25)</f>
        <v>0</v>
      </c>
      <c r="AH25" s="25"/>
      <c r="AI25" s="26">
        <f>AG25+AH25+AH26+AH27+AH28+AH29</f>
        <v>0</v>
      </c>
    </row>
    <row r="26" spans="1:44" ht="18.75">
      <c r="A26" s="8" t="s">
        <v>21</v>
      </c>
      <c r="AG26">
        <f t="shared" ref="AG26:AG32" si="11">SUM(B26:AF26)</f>
        <v>0</v>
      </c>
      <c r="AI26" s="29">
        <f t="shared" ref="AI26:AI32" si="12">AG26-AH26</f>
        <v>0</v>
      </c>
    </row>
    <row r="27" spans="1:44" ht="18.75">
      <c r="A27" s="9" t="s">
        <v>22</v>
      </c>
      <c r="AG27">
        <f t="shared" si="11"/>
        <v>0</v>
      </c>
      <c r="AI27" s="29">
        <f t="shared" si="12"/>
        <v>0</v>
      </c>
    </row>
    <row r="28" spans="1:44" ht="18.75">
      <c r="A28" s="10" t="s">
        <v>23</v>
      </c>
      <c r="AG28">
        <f t="shared" si="11"/>
        <v>0</v>
      </c>
      <c r="AI28" s="29">
        <f t="shared" si="12"/>
        <v>0</v>
      </c>
    </row>
    <row r="29" spans="1:44" ht="18.75">
      <c r="A29" s="11" t="s">
        <v>24</v>
      </c>
      <c r="AG29">
        <f t="shared" si="11"/>
        <v>0</v>
      </c>
      <c r="AI29" s="29">
        <f t="shared" si="12"/>
        <v>0</v>
      </c>
    </row>
    <row r="30" spans="1:44" ht="18.75">
      <c r="A30" s="12" t="s">
        <v>26</v>
      </c>
      <c r="AG30">
        <f t="shared" si="11"/>
        <v>0</v>
      </c>
      <c r="AI30" s="29">
        <f t="shared" si="12"/>
        <v>0</v>
      </c>
    </row>
    <row r="31" spans="1:44" ht="18.75">
      <c r="A31" s="13" t="s">
        <v>118</v>
      </c>
      <c r="AG31">
        <f t="shared" si="11"/>
        <v>0</v>
      </c>
      <c r="AI31" s="29">
        <f t="shared" si="12"/>
        <v>0</v>
      </c>
    </row>
    <row r="32" spans="1:44" ht="18.75">
      <c r="A32" s="14" t="s">
        <v>119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>
        <f t="shared" si="11"/>
        <v>0</v>
      </c>
      <c r="AH32" s="36"/>
      <c r="AI32" s="37">
        <f t="shared" si="12"/>
        <v>0</v>
      </c>
    </row>
    <row r="34" spans="1:35" ht="21">
      <c r="A34" s="317" t="s">
        <v>122</v>
      </c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19"/>
      <c r="AI34" s="20"/>
    </row>
    <row r="35" spans="1:35">
      <c r="A35" s="4"/>
      <c r="B35" s="5">
        <v>45108</v>
      </c>
      <c r="C35" s="5">
        <v>45109</v>
      </c>
      <c r="D35" s="5">
        <v>45110</v>
      </c>
      <c r="E35" s="5">
        <v>45111</v>
      </c>
      <c r="F35" s="5">
        <v>45112</v>
      </c>
      <c r="G35" s="5">
        <v>45113</v>
      </c>
      <c r="H35" s="5">
        <v>45114</v>
      </c>
      <c r="I35" s="5">
        <v>45115</v>
      </c>
      <c r="J35" s="5">
        <v>45116</v>
      </c>
      <c r="K35" s="5">
        <v>45117</v>
      </c>
      <c r="L35" s="5">
        <v>45118</v>
      </c>
      <c r="M35" s="5">
        <v>45119</v>
      </c>
      <c r="N35" s="5">
        <v>45120</v>
      </c>
      <c r="O35" s="5">
        <v>45121</v>
      </c>
      <c r="P35" s="5">
        <v>45122</v>
      </c>
      <c r="Q35" s="5">
        <v>45123</v>
      </c>
      <c r="R35" s="5">
        <v>45124</v>
      </c>
      <c r="S35" s="5">
        <v>45125</v>
      </c>
      <c r="T35" s="5">
        <v>45126</v>
      </c>
      <c r="U35" s="5">
        <v>45127</v>
      </c>
      <c r="V35" s="5">
        <v>45128</v>
      </c>
      <c r="W35" s="5">
        <v>45129</v>
      </c>
      <c r="X35" s="5">
        <v>45130</v>
      </c>
      <c r="Y35" s="5">
        <v>45131</v>
      </c>
      <c r="Z35" s="5">
        <v>45132</v>
      </c>
      <c r="AA35" s="5">
        <v>45133</v>
      </c>
      <c r="AB35" s="5">
        <v>45134</v>
      </c>
      <c r="AC35" s="5">
        <v>45135</v>
      </c>
      <c r="AD35" s="5">
        <v>45136</v>
      </c>
      <c r="AE35" s="5">
        <v>45137</v>
      </c>
      <c r="AF35" s="5">
        <v>45138</v>
      </c>
      <c r="AG35" s="22" t="s">
        <v>2</v>
      </c>
      <c r="AH35" s="23" t="s">
        <v>49</v>
      </c>
      <c r="AI35" s="24" t="s">
        <v>2</v>
      </c>
    </row>
    <row r="36" spans="1:35" ht="18.75">
      <c r="A36" s="6" t="s">
        <v>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>
        <f>SUM(B36:AF36)</f>
        <v>0</v>
      </c>
      <c r="AH36" s="25"/>
      <c r="AI36" s="26">
        <f>AG36+AH36+AH37+AH38+AH39+AH40</f>
        <v>0</v>
      </c>
    </row>
    <row r="37" spans="1:35" ht="18.75">
      <c r="A37" s="8" t="s">
        <v>21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AG37">
        <f t="shared" ref="AG37:AG43" si="13">SUM(B37:AF37)</f>
        <v>0</v>
      </c>
      <c r="AI37" s="29">
        <f t="shared" ref="AI37:AI43" si="14">AG37-AH37</f>
        <v>0</v>
      </c>
    </row>
    <row r="38" spans="1:35" ht="18.75">
      <c r="A38" s="9" t="s">
        <v>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AG38">
        <f t="shared" si="13"/>
        <v>0</v>
      </c>
      <c r="AI38" s="29">
        <f t="shared" si="14"/>
        <v>0</v>
      </c>
    </row>
    <row r="39" spans="1:35" ht="18.75">
      <c r="A39" s="10" t="s">
        <v>23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AG39">
        <f t="shared" si="13"/>
        <v>0</v>
      </c>
      <c r="AI39" s="29">
        <f t="shared" si="14"/>
        <v>0</v>
      </c>
    </row>
    <row r="40" spans="1:35" ht="18.75">
      <c r="A40" s="11" t="s">
        <v>24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AG40">
        <f t="shared" si="13"/>
        <v>0</v>
      </c>
      <c r="AI40" s="29">
        <f t="shared" si="14"/>
        <v>0</v>
      </c>
    </row>
    <row r="41" spans="1:35" ht="18.75">
      <c r="A41" s="12" t="s">
        <v>26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AG41">
        <f t="shared" si="13"/>
        <v>0</v>
      </c>
      <c r="AI41" s="29">
        <f t="shared" si="14"/>
        <v>0</v>
      </c>
    </row>
    <row r="42" spans="1:35" ht="18.75">
      <c r="A42" s="13" t="s">
        <v>118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AG42">
        <f t="shared" si="13"/>
        <v>0</v>
      </c>
      <c r="AI42" s="29">
        <f t="shared" si="14"/>
        <v>0</v>
      </c>
    </row>
    <row r="43" spans="1:35" ht="18.75">
      <c r="A43" s="14" t="s">
        <v>119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>
        <f t="shared" si="13"/>
        <v>0</v>
      </c>
      <c r="AH43" s="36"/>
      <c r="AI43" s="37">
        <f t="shared" si="14"/>
        <v>0</v>
      </c>
    </row>
    <row r="44" spans="1: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35" ht="21">
      <c r="A45" s="317" t="s">
        <v>123</v>
      </c>
      <c r="B45" s="317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19"/>
      <c r="AI45" s="20"/>
    </row>
    <row r="46" spans="1:35">
      <c r="A46" s="4"/>
      <c r="B46" s="5">
        <v>45108</v>
      </c>
      <c r="C46" s="5">
        <v>45109</v>
      </c>
      <c r="D46" s="5">
        <v>45110</v>
      </c>
      <c r="E46" s="5">
        <v>45111</v>
      </c>
      <c r="F46" s="5">
        <v>45112</v>
      </c>
      <c r="G46" s="5">
        <v>45113</v>
      </c>
      <c r="H46" s="5">
        <v>45114</v>
      </c>
      <c r="I46" s="5">
        <v>45115</v>
      </c>
      <c r="J46" s="5">
        <v>45116</v>
      </c>
      <c r="K46" s="5">
        <v>45117</v>
      </c>
      <c r="L46" s="5">
        <v>45118</v>
      </c>
      <c r="M46" s="5">
        <v>45119</v>
      </c>
      <c r="N46" s="5">
        <v>45120</v>
      </c>
      <c r="O46" s="5">
        <v>45121</v>
      </c>
      <c r="P46" s="5">
        <v>45122</v>
      </c>
      <c r="Q46" s="5">
        <v>45123</v>
      </c>
      <c r="R46" s="5">
        <v>45124</v>
      </c>
      <c r="S46" s="5">
        <v>45125</v>
      </c>
      <c r="T46" s="5">
        <v>45126</v>
      </c>
      <c r="U46" s="5">
        <v>45127</v>
      </c>
      <c r="V46" s="5">
        <v>45128</v>
      </c>
      <c r="W46" s="5">
        <v>45129</v>
      </c>
      <c r="X46" s="5">
        <v>45130</v>
      </c>
      <c r="Y46" s="5">
        <v>45131</v>
      </c>
      <c r="Z46" s="5">
        <v>45132</v>
      </c>
      <c r="AA46" s="5">
        <v>45133</v>
      </c>
      <c r="AB46" s="5">
        <v>45134</v>
      </c>
      <c r="AC46" s="5">
        <v>45135</v>
      </c>
      <c r="AD46" s="5">
        <v>45136</v>
      </c>
      <c r="AE46" s="5">
        <v>45137</v>
      </c>
      <c r="AF46" s="5">
        <v>45138</v>
      </c>
      <c r="AG46" s="22" t="s">
        <v>2</v>
      </c>
      <c r="AH46" s="23" t="s">
        <v>3</v>
      </c>
      <c r="AI46" s="24" t="s">
        <v>2</v>
      </c>
    </row>
    <row r="47" spans="1:35" ht="18.75">
      <c r="A47" s="6" t="s">
        <v>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>
        <f>SUM(B47:AF47)</f>
        <v>0</v>
      </c>
      <c r="AH47" s="25"/>
      <c r="AI47" s="26">
        <f>AG47+AH47+AH48+AH49+AH50+AH51</f>
        <v>0</v>
      </c>
    </row>
    <row r="48" spans="1:35" ht="18.75">
      <c r="A48" s="8" t="s">
        <v>21</v>
      </c>
      <c r="AG48">
        <f t="shared" ref="AG48:AG54" si="15">SUM(B48:AF48)</f>
        <v>0</v>
      </c>
      <c r="AI48" s="29">
        <f t="shared" ref="AI48:AI54" si="16">AG48-AH48</f>
        <v>0</v>
      </c>
    </row>
    <row r="49" spans="1:35" ht="18.75">
      <c r="A49" s="9" t="s">
        <v>22</v>
      </c>
      <c r="AG49">
        <f t="shared" si="15"/>
        <v>0</v>
      </c>
      <c r="AI49" s="29">
        <f t="shared" si="16"/>
        <v>0</v>
      </c>
    </row>
    <row r="50" spans="1:35" ht="18.75">
      <c r="A50" s="10" t="s">
        <v>23</v>
      </c>
      <c r="AG50">
        <f t="shared" si="15"/>
        <v>0</v>
      </c>
      <c r="AI50" s="29">
        <f t="shared" si="16"/>
        <v>0</v>
      </c>
    </row>
    <row r="51" spans="1:35" ht="18.75">
      <c r="A51" s="11" t="s">
        <v>24</v>
      </c>
      <c r="AG51">
        <f t="shared" si="15"/>
        <v>0</v>
      </c>
      <c r="AI51" s="29">
        <f t="shared" si="16"/>
        <v>0</v>
      </c>
    </row>
    <row r="52" spans="1:35" ht="18.75">
      <c r="A52" s="12" t="s">
        <v>26</v>
      </c>
      <c r="AG52">
        <f t="shared" si="15"/>
        <v>0</v>
      </c>
      <c r="AI52" s="29">
        <f t="shared" si="16"/>
        <v>0</v>
      </c>
    </row>
    <row r="53" spans="1:35" ht="18.75">
      <c r="A53" s="13" t="s">
        <v>118</v>
      </c>
      <c r="AG53">
        <f t="shared" si="15"/>
        <v>0</v>
      </c>
      <c r="AI53" s="29">
        <f t="shared" si="16"/>
        <v>0</v>
      </c>
    </row>
    <row r="54" spans="1:35" ht="18.75">
      <c r="A54" s="14" t="s">
        <v>119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>
        <f t="shared" si="15"/>
        <v>0</v>
      </c>
      <c r="AH54" s="36"/>
      <c r="AI54" s="37">
        <f t="shared" si="16"/>
        <v>0</v>
      </c>
    </row>
    <row r="55" spans="1:35">
      <c r="P55" t="s">
        <v>53</v>
      </c>
    </row>
    <row r="57" spans="1:35" ht="21">
      <c r="A57" s="317" t="s">
        <v>124</v>
      </c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19"/>
      <c r="AI57" s="20"/>
    </row>
    <row r="58" spans="1:35">
      <c r="A58" s="4"/>
      <c r="B58" s="5">
        <v>45108</v>
      </c>
      <c r="C58" s="5">
        <v>45109</v>
      </c>
      <c r="D58" s="5">
        <v>45110</v>
      </c>
      <c r="E58" s="5">
        <v>45111</v>
      </c>
      <c r="F58" s="5">
        <v>45112</v>
      </c>
      <c r="G58" s="5">
        <v>45113</v>
      </c>
      <c r="H58" s="5">
        <v>45114</v>
      </c>
      <c r="I58" s="5">
        <v>45115</v>
      </c>
      <c r="J58" s="5">
        <v>45116</v>
      </c>
      <c r="K58" s="5">
        <v>45117</v>
      </c>
      <c r="L58" s="5">
        <v>45118</v>
      </c>
      <c r="M58" s="5">
        <v>45119</v>
      </c>
      <c r="N58" s="5">
        <v>45120</v>
      </c>
      <c r="O58" s="5">
        <v>45121</v>
      </c>
      <c r="P58" s="5">
        <v>45122</v>
      </c>
      <c r="Q58" s="5">
        <v>45123</v>
      </c>
      <c r="R58" s="5">
        <v>45124</v>
      </c>
      <c r="S58" s="5">
        <v>45125</v>
      </c>
      <c r="T58" s="5">
        <v>45126</v>
      </c>
      <c r="U58" s="5">
        <v>45127</v>
      </c>
      <c r="V58" s="5">
        <v>45128</v>
      </c>
      <c r="W58" s="5">
        <v>45129</v>
      </c>
      <c r="X58" s="5">
        <v>45130</v>
      </c>
      <c r="Y58" s="5">
        <v>45131</v>
      </c>
      <c r="Z58" s="5">
        <v>45132</v>
      </c>
      <c r="AA58" s="5">
        <v>45133</v>
      </c>
      <c r="AB58" s="5">
        <v>45134</v>
      </c>
      <c r="AC58" s="5">
        <v>45135</v>
      </c>
      <c r="AD58" s="5">
        <v>45136</v>
      </c>
      <c r="AE58" s="5">
        <v>45137</v>
      </c>
      <c r="AF58" s="5">
        <v>45138</v>
      </c>
      <c r="AG58" s="22" t="s">
        <v>2</v>
      </c>
      <c r="AH58" s="23" t="s">
        <v>3</v>
      </c>
      <c r="AI58" s="24" t="s">
        <v>2</v>
      </c>
    </row>
    <row r="59" spans="1:35" ht="18.75">
      <c r="A59" s="6" t="s">
        <v>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>
        <v>1</v>
      </c>
      <c r="AG59" s="7">
        <f>SUM(B59:AF59)</f>
        <v>1</v>
      </c>
      <c r="AH59" s="25"/>
      <c r="AI59" s="26">
        <f>AG59+AH59+AH60+AH61+AH62+AH63</f>
        <v>1</v>
      </c>
    </row>
    <row r="60" spans="1:35" ht="18.75">
      <c r="A60" s="8" t="s">
        <v>21</v>
      </c>
      <c r="AF60">
        <v>1</v>
      </c>
      <c r="AG60">
        <f t="shared" ref="AG60:AG66" si="17">SUM(B60:AF60)</f>
        <v>1</v>
      </c>
      <c r="AI60" s="29">
        <f t="shared" ref="AI60:AI66" si="18">AG60-AH60</f>
        <v>1</v>
      </c>
    </row>
    <row r="61" spans="1:35" ht="18.75">
      <c r="A61" s="9" t="s">
        <v>22</v>
      </c>
      <c r="AF61">
        <v>1</v>
      </c>
      <c r="AG61">
        <f t="shared" si="17"/>
        <v>1</v>
      </c>
      <c r="AI61" s="29">
        <f t="shared" si="18"/>
        <v>1</v>
      </c>
    </row>
    <row r="62" spans="1:35" ht="18.75">
      <c r="A62" s="10" t="s">
        <v>23</v>
      </c>
      <c r="AF62">
        <v>1</v>
      </c>
      <c r="AG62">
        <f t="shared" si="17"/>
        <v>1</v>
      </c>
      <c r="AI62" s="29">
        <f t="shared" si="18"/>
        <v>1</v>
      </c>
    </row>
    <row r="63" spans="1:35" ht="18.75">
      <c r="A63" s="11" t="s">
        <v>24</v>
      </c>
      <c r="AF63">
        <v>1</v>
      </c>
      <c r="AG63">
        <f t="shared" si="17"/>
        <v>1</v>
      </c>
      <c r="AI63" s="29">
        <f t="shared" si="18"/>
        <v>1</v>
      </c>
    </row>
    <row r="64" spans="1:35" ht="18.75">
      <c r="A64" s="12" t="s">
        <v>26</v>
      </c>
      <c r="AF64">
        <v>1</v>
      </c>
      <c r="AG64">
        <f t="shared" si="17"/>
        <v>1</v>
      </c>
      <c r="AI64" s="29">
        <f t="shared" si="18"/>
        <v>1</v>
      </c>
    </row>
    <row r="65" spans="1:35" ht="18.75">
      <c r="A65" s="13" t="s">
        <v>118</v>
      </c>
      <c r="AF65">
        <v>1</v>
      </c>
      <c r="AG65">
        <f t="shared" si="17"/>
        <v>1</v>
      </c>
      <c r="AI65" s="29">
        <f t="shared" si="18"/>
        <v>1</v>
      </c>
    </row>
    <row r="66" spans="1:35" ht="18.75">
      <c r="A66" s="14" t="s">
        <v>119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>
        <v>1</v>
      </c>
      <c r="AG66" s="15">
        <f t="shared" si="17"/>
        <v>1</v>
      </c>
      <c r="AH66" s="36"/>
      <c r="AI66" s="37">
        <f t="shared" si="18"/>
        <v>1</v>
      </c>
    </row>
  </sheetData>
  <mergeCells count="7">
    <mergeCell ref="A57:AG57"/>
    <mergeCell ref="AK1:AR2"/>
    <mergeCell ref="A1:AG1"/>
    <mergeCell ref="A12:AG12"/>
    <mergeCell ref="A23:AG23"/>
    <mergeCell ref="A34:AG34"/>
    <mergeCell ref="A45:AG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10</vt:i4>
      </vt:variant>
    </vt:vector>
  </HeadingPairs>
  <TitlesOfParts>
    <vt:vector size="27" baseType="lpstr">
      <vt:lpstr>PLANTILLA 2 (2)</vt:lpstr>
      <vt:lpstr>PLANTILLA </vt:lpstr>
      <vt:lpstr>casacas</vt:lpstr>
      <vt:lpstr>ENERO </vt:lpstr>
      <vt:lpstr>FEBRERO</vt:lpstr>
      <vt:lpstr>MARZO</vt:lpstr>
      <vt:lpstr>ABRIL</vt:lpstr>
      <vt:lpstr>MAYO </vt:lpstr>
      <vt:lpstr>JUNIO 2026</vt:lpstr>
      <vt:lpstr>JULIO 2026</vt:lpstr>
      <vt:lpstr>REPORTE SEMANAL</vt:lpstr>
      <vt:lpstr>AGENDA DE LA 1A </vt:lpstr>
      <vt:lpstr>frecuencia de visita </vt:lpstr>
      <vt:lpstr>UNIFORMES </vt:lpstr>
      <vt:lpstr>Recontacto </vt:lpstr>
      <vt:lpstr>PLANTILLA MAYO 2026</vt:lpstr>
      <vt:lpstr> PLANTILLA  (2)</vt:lpstr>
      <vt:lpstr>ABRIL!Área_de_impresión</vt:lpstr>
      <vt:lpstr>'ENERO '!Área_de_impresión</vt:lpstr>
      <vt:lpstr>FEBRERO!Área_de_impresión</vt:lpstr>
      <vt:lpstr>'JULIO 2026'!Área_de_impresión</vt:lpstr>
      <vt:lpstr>'JUNIO 2026'!Área_de_impresión</vt:lpstr>
      <vt:lpstr>MARZO!Área_de_impresión</vt:lpstr>
      <vt:lpstr>'MAYO '!Área_de_impresión</vt:lpstr>
      <vt:lpstr>'PLANTILLA '!Área_de_impresión</vt:lpstr>
      <vt:lpstr>'PLANTILLA 2 (2)'!Área_de_impresión</vt:lpstr>
      <vt:lpstr>'PLANTILLA MAYO 2026'!Área_de_impresión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jordan enciso riqueros</cp:lastModifiedBy>
  <dcterms:created xsi:type="dcterms:W3CDTF">2023-02-14T14:53:00Z</dcterms:created>
  <dcterms:modified xsi:type="dcterms:W3CDTF">2026-08-01T16:40:46Z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11B6187BB1644023ACD5303EB37622A2_12</vt:lpwstr>
  </property>
  <property fmtid="{D5CDD505-2E9C-101B-9397-08002B2CF9AE}" pid="3" name="KSOProductBuildVer">
    <vt:lpwstr>2058-12.2.0.21931</vt:lpwstr>
  </property>
</Properties>
</file>